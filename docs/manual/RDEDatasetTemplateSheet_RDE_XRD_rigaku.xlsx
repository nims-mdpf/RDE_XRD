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XRD/template/rigaku/"/>
    </mc:Choice>
  </mc:AlternateContent>
  <xr:revisionPtr revIDLastSave="0" documentId="13_ncr:1_{3319A80E-BE28-F04D-A9B4-A427677F2C32}" xr6:coauthVersionLast="47" xr6:coauthVersionMax="47" xr10:uidLastSave="{00000000-0000-0000-0000-000000000000}"/>
  <bookViews>
    <workbookView xWindow="41680" yWindow="120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6" l="1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3" i="6"/>
  <c r="L3" i="6"/>
  <c r="O24" i="8"/>
  <c r="N24" i="8"/>
  <c r="O23" i="8"/>
  <c r="N23" i="8"/>
  <c r="O22" i="8"/>
  <c r="N22" i="8"/>
  <c r="L80" i="6"/>
  <c r="K80" i="6"/>
  <c r="O25" i="8"/>
  <c r="N25" i="8"/>
  <c r="O21" i="8"/>
  <c r="N21" i="8"/>
  <c r="O20" i="8"/>
  <c r="N20" i="8"/>
  <c r="O19" i="8"/>
  <c r="N19" i="8"/>
  <c r="O18" i="8"/>
  <c r="N18" i="8"/>
  <c r="O17" i="8"/>
  <c r="N17" i="8"/>
  <c r="O26" i="8"/>
  <c r="N26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N27" i="8"/>
  <c r="O27" i="8"/>
  <c r="P27" i="8"/>
  <c r="K81" i="6"/>
  <c r="B3" i="7"/>
  <c r="B3" i="8"/>
  <c r="B5" i="7"/>
  <c r="B4" i="7"/>
  <c r="B2" i="7"/>
  <c r="B2" i="8"/>
  <c r="C2" i="10"/>
  <c r="V4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L8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9" i="8" l="1"/>
  <c r="F37" i="8"/>
  <c r="G36" i="8"/>
  <c r="U43" i="8"/>
  <c r="V42" i="8"/>
  <c r="D38" i="8"/>
  <c r="F36" i="8"/>
  <c r="U42" i="8"/>
  <c r="V41" i="8"/>
  <c r="D37" i="8"/>
  <c r="G35" i="8"/>
  <c r="U41" i="8"/>
  <c r="V40" i="8"/>
  <c r="D36" i="8"/>
  <c r="F35" i="8"/>
  <c r="G43" i="8"/>
  <c r="U40" i="8"/>
  <c r="V39" i="8"/>
  <c r="L2" i="12"/>
  <c r="F43" i="8"/>
  <c r="G42" i="8"/>
  <c r="U39" i="8"/>
  <c r="V38" i="8"/>
  <c r="L36" i="12"/>
  <c r="D35" i="8"/>
  <c r="F42" i="8"/>
  <c r="G41" i="8"/>
  <c r="U38" i="8"/>
  <c r="V37" i="8"/>
  <c r="D43" i="8"/>
  <c r="F41" i="8"/>
  <c r="G40" i="8"/>
  <c r="U37" i="8"/>
  <c r="V36" i="8"/>
  <c r="D42" i="8"/>
  <c r="F40" i="8"/>
  <c r="G39" i="8"/>
  <c r="U36" i="8"/>
  <c r="D41" i="8"/>
  <c r="F39" i="8"/>
  <c r="G38" i="8"/>
  <c r="D40" i="8"/>
  <c r="F38" i="8"/>
  <c r="G37" i="8"/>
  <c r="U3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0" i="8" l="1"/>
  <c r="U51" i="8"/>
  <c r="F45" i="8"/>
  <c r="D48" i="8"/>
  <c r="V51" i="8"/>
  <c r="U52" i="8"/>
  <c r="G45" i="8"/>
  <c r="F46" i="8"/>
  <c r="D49" i="8"/>
  <c r="V52" i="8"/>
  <c r="U44" i="8"/>
  <c r="G46" i="8"/>
  <c r="F47" i="8"/>
  <c r="D50" i="8"/>
  <c r="V44" i="8"/>
  <c r="G47" i="8"/>
  <c r="F48" i="8"/>
  <c r="D51" i="8"/>
  <c r="U45" i="8"/>
  <c r="G48" i="8"/>
  <c r="F49" i="8"/>
  <c r="D52" i="8"/>
  <c r="V45" i="8"/>
  <c r="U46" i="8"/>
  <c r="G49" i="8"/>
  <c r="F50" i="8"/>
  <c r="D44" i="8"/>
  <c r="V46" i="8"/>
  <c r="U47" i="8"/>
  <c r="G50" i="8"/>
  <c r="F51" i="8"/>
  <c r="V47" i="8"/>
  <c r="U48" i="8"/>
  <c r="G51" i="8"/>
  <c r="F52" i="8"/>
  <c r="D45" i="8"/>
  <c r="V48" i="8"/>
  <c r="U49" i="8"/>
  <c r="G52" i="8"/>
  <c r="F44" i="8"/>
  <c r="D46" i="8"/>
  <c r="V49" i="8"/>
  <c r="U50" i="8"/>
  <c r="G44" i="8"/>
  <c r="D47" i="8"/>
</calcChain>
</file>

<file path=xl/sharedStrings.xml><?xml version="1.0" encoding="utf-8"?>
<sst xmlns="http://schemas.openxmlformats.org/spreadsheetml/2006/main" count="3049" uniqueCount="1702">
  <si>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</si>
  <si>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</si>
  <si>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</si>
  <si>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</si>
  <si>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</si>
  <si>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</si>
  <si>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</si>
  <si>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</si>
  <si>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</si>
  <si>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</si>
  <si>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</si>
  <si>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</si>
  <si>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</si>
  <si>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</si>
  <si>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</si>
  <si>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</si>
  <si>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</si>
  <si>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</si>
  <si>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</si>
  <si>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</si>
  <si>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</si>
  <si>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</si>
  <si>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</si>
  <si>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</si>
  <si>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</si>
  <si>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</si>
  <si>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</si>
  <si>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</si>
  <si>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</si>
  <si>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</si>
  <si>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</si>
  <si>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</si>
  <si>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</si>
  <si>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</si>
  <si>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</si>
  <si>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</si>
  <si>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</si>
  <si>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</si>
  <si>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</si>
  <si>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</si>
  <si>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</si>
  <si>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</si>
  <si>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</si>
  <si>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</si>
  <si>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</si>
  <si>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</si>
  <si>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</si>
  <si>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</si>
  <si>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</si>
  <si>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</si>
  <si>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</si>
  <si>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</si>
  <si>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</si>
  <si>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</si>
  <si>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</si>
  <si>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</si>
  <si>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</si>
  <si>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</si>
  <si>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</si>
  <si>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</si>
  <si>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</si>
  <si>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</si>
  <si>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</si>
  <si>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</si>
  <si>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</si>
  <si>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</si>
  <si>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</si>
  <si>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</si>
  <si>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</si>
  <si>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</si>
  <si>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</si>
  <si>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</si>
  <si>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</si>
  <si>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</si>
  <si>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</si>
  <si>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</si>
  <si>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</si>
  <si>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</si>
  <si>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</si>
  <si>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</si>
  <si>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</si>
  <si>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</si>
  <si>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</si>
  <si>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</si>
  <si>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</si>
  <si>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</si>
  <si>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</si>
  <si>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</si>
  <si>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</si>
  <si>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</si>
  <si>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</si>
  <si>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</si>
  <si>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</si>
  <si>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</si>
  <si>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</si>
  <si>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</si>
  <si>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</si>
  <si>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</si>
  <si>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</si>
  <si>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</si>
  <si>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</si>
  <si>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</si>
  <si>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</si>
  <si>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</si>
  <si>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</si>
  <si>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</si>
  <si>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</si>
  <si>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</si>
  <si>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</si>
  <si>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</si>
  <si>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</si>
  <si>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</si>
  <si>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</si>
  <si>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</si>
  <si>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</si>
  <si>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</si>
  <si>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</si>
  <si>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</si>
  <si>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</si>
  <si>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</si>
  <si>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</si>
  <si>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</si>
  <si>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</si>
  <si>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</si>
  <si>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</si>
  <si>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</si>
  <si>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</si>
  <si>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</si>
  <si>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</si>
  <si>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</si>
  <si>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</si>
  <si>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</si>
  <si>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</si>
  <si>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</si>
  <si>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</si>
  <si>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</si>
  <si>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</si>
  <si>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</si>
  <si>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</si>
  <si>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</si>
  <si>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</si>
  <si>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</si>
  <si>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</si>
  <si>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</si>
  <si>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</si>
  <si>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</si>
  <si>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</si>
  <si>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</si>
  <si>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</si>
  <si>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</si>
  <si>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</si>
  <si>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</si>
  <si>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</si>
  <si>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</si>
  <si>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</si>
  <si>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</si>
  <si>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</si>
  <si>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</si>
  <si>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</si>
  <si>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</si>
  <si>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</si>
  <si>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</si>
  <si>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</si>
  <si>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</si>
  <si>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</si>
  <si>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</si>
  <si>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</si>
  <si>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</si>
  <si>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</si>
  <si>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</si>
  <si>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</si>
  <si>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</si>
  <si>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</si>
  <si>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</si>
  <si>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</si>
  <si>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</si>
  <si>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</si>
  <si>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</si>
  <si>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</si>
  <si>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</si>
  <si>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</si>
  <si>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</si>
  <si>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</si>
  <si>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</si>
  <si>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</si>
  <si>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</si>
  <si>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</si>
  <si>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</si>
  <si>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</si>
  <si>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</si>
  <si>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</si>
  <si>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</si>
  <si>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</si>
  <si>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</si>
  <si>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</si>
  <si>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</si>
  <si>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</si>
  <si>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</si>
  <si>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</si>
  <si>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</si>
  <si>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</si>
  <si>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</si>
  <si>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</si>
  <si>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</si>
  <si>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</si>
  <si>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</si>
  <si>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</si>
  <si>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</si>
  <si>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</si>
  <si>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</si>
  <si>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</si>
  <si>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</si>
  <si>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</si>
  <si>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</si>
  <si>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</si>
  <si>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</si>
  <si>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</si>
  <si>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</si>
  <si>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</si>
  <si>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</si>
  <si>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</si>
  <si>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</si>
  <si>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</si>
  <si>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</si>
  <si>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</si>
  <si>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</si>
  <si>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</si>
  <si>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</si>
  <si>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</si>
  <si>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</si>
  <si>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</si>
  <si>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</si>
  <si>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</si>
  <si>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</si>
  <si>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</si>
  <si>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</si>
  <si>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</si>
  <si>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</si>
  <si>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</si>
  <si>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</si>
  <si>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</si>
  <si>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</si>
  <si>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</si>
  <si>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</si>
  <si>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</si>
  <si>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</si>
  <si>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</si>
  <si>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</si>
  <si>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</si>
  <si>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</si>
  <si>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</si>
  <si>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</si>
  <si>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</si>
  <si>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</si>
  <si>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</si>
  <si>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</si>
  <si>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</si>
  <si>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</si>
  <si>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</si>
  <si>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</si>
  <si>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</si>
  <si>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</si>
  <si>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</si>
  <si>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</si>
  <si>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</si>
  <si>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</si>
  <si>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</si>
  <si>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</si>
  <si>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</si>
  <si>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</si>
  <si>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</si>
  <si>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</si>
  <si>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</si>
  <si>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</si>
  <si>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</si>
  <si>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</si>
  <si>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</si>
  <si>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</si>
  <si>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</si>
  <si>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</si>
  <si>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</si>
  <si>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</si>
  <si>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</si>
  <si>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</si>
  <si>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</si>
  <si>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</si>
  <si>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</si>
  <si>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</si>
  <si>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</si>
  <si>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</si>
  <si>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</si>
  <si>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</si>
  <si>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</si>
  <si>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</si>
  <si>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</si>
  <si>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</si>
  <si>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</si>
  <si>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</si>
  <si>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</si>
  <si>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</si>
  <si>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</si>
  <si>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</si>
  <si>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</si>
  <si>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</si>
  <si>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</si>
  <si>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</si>
  <si>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</si>
  <si>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</si>
  <si>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</si>
  <si>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</si>
  <si>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</si>
  <si>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</si>
  <si>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</si>
  <si>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</si>
  <si>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</si>
  <si>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</si>
  <si>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</si>
  <si>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</si>
  <si>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</si>
  <si>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</si>
  <si>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</si>
  <si>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</si>
  <si>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</si>
  <si>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</si>
  <si>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</si>
  <si>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</si>
  <si>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</si>
  <si>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</si>
  <si>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</si>
  <si>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</si>
  <si>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</si>
  <si>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</si>
  <si>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</si>
  <si>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</si>
  <si>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</si>
  <si>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</si>
  <si>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</si>
  <si>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</si>
  <si>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</si>
  <si>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</si>
  <si>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</si>
  <si>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</si>
  <si>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</si>
  <si>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</si>
  <si>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</si>
  <si>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</si>
  <si>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</si>
  <si>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</si>
  <si>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</si>
  <si>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</si>
  <si>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</si>
  <si>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</si>
  <si>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</si>
  <si>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</si>
  <si>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</si>
  <si>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</si>
  <si>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</si>
  <si>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</si>
  <si>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</si>
  <si>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</si>
  <si>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</si>
  <si>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</si>
  <si>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</si>
  <si>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</si>
  <si>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</si>
  <si>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</si>
  <si>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</si>
  <si>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</si>
  <si>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</si>
  <si>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</si>
  <si>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</si>
  <si>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</si>
  <si>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</si>
  <si>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</si>
  <si>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</si>
  <si>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</si>
  <si>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</si>
  <si>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</si>
  <si>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</si>
  <si>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</si>
  <si>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</si>
  <si>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</si>
  <si>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</si>
  <si>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</si>
  <si>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</si>
  <si>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</si>
  <si>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</si>
  <si>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</si>
  <si>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</si>
  <si>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</si>
  <si>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</si>
  <si>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</si>
  <si>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</si>
  <si>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</si>
  <si>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</si>
  <si>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</si>
  <si>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</si>
  <si>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</si>
  <si>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</si>
  <si>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</si>
  <si>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</si>
  <si>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</si>
  <si>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</si>
  <si>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</si>
  <si>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</si>
  <si>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</si>
  <si>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</si>
  <si>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</si>
  <si>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</si>
  <si>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</si>
  <si>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</si>
  <si>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</si>
  <si>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</si>
  <si>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</si>
  <si>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</si>
  <si>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</si>
  <si>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</si>
  <si>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</si>
  <si>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</si>
  <si>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</si>
  <si>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</si>
  <si>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</si>
  <si>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</si>
  <si>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</si>
  <si>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</si>
  <si>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</si>
  <si>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</si>
  <si>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</si>
  <si>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</si>
  <si>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</si>
  <si>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</si>
  <si>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</si>
  <si>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</si>
  <si>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</si>
  <si>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</si>
  <si>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</si>
  <si>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</si>
  <si>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</si>
  <si>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</si>
  <si>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</si>
  <si>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</si>
  <si>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</si>
  <si>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</si>
  <si>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</si>
  <si>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</si>
  <si>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</si>
  <si>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</si>
  <si>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</si>
  <si>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</si>
  <si>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</si>
  <si>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</si>
  <si>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</si>
  <si>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</si>
  <si>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</si>
  <si>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</si>
  <si>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</si>
  <si>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</si>
  <si>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</si>
  <si>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</si>
  <si>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</si>
  <si>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</si>
  <si>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</si>
  <si>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</si>
  <si>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</si>
  <si>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</si>
  <si>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</si>
  <si>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</si>
  <si>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</si>
  <si>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</si>
  <si>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</si>
  <si>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</si>
  <si>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</si>
  <si>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</si>
  <si>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</si>
  <si>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</si>
  <si>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</si>
  <si>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</si>
  <si>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</si>
  <si>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</si>
  <si>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</si>
  <si>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</si>
  <si>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</si>
  <si>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</si>
  <si>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</si>
  <si>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</si>
  <si>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</si>
  <si>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</si>
  <si>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</si>
  <si>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</si>
  <si>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</si>
  <si>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</si>
  <si>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</si>
  <si>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</si>
  <si>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</si>
  <si>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</si>
  <si>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</si>
  <si>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</si>
  <si>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</si>
  <si>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</si>
  <si>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</si>
  <si>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</si>
  <si>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</si>
  <si>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</si>
  <si>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</si>
  <si>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</si>
  <si>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</si>
  <si>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</si>
  <si>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</si>
  <si>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</si>
  <si>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</si>
  <si>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</si>
  <si>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</si>
  <si>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</si>
  <si>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</si>
  <si>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</si>
  <si>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</si>
  <si>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</si>
  <si>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</si>
  <si>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</si>
  <si>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</si>
  <si>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</si>
  <si>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</si>
  <si>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</si>
  <si>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</si>
  <si>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</si>
  <si>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</si>
  <si>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</si>
  <si>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</si>
  <si>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</si>
  <si>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</si>
  <si>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</si>
  <si>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</si>
  <si>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</si>
  <si>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</si>
  <si>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</si>
  <si>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</si>
  <si>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</si>
  <si>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</si>
  <si>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</si>
  <si>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</si>
  <si>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</si>
  <si>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</si>
  <si>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</si>
  <si>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</si>
  <si>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</si>
  <si>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</si>
  <si>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</si>
  <si>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</si>
  <si>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</si>
  <si>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</si>
  <si>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</si>
  <si>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</si>
  <si>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</si>
  <si>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</si>
  <si>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</si>
  <si>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</si>
  <si>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</si>
  <si>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</si>
  <si>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</si>
  <si>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</si>
  <si>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</si>
  <si>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</si>
  <si>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</si>
  <si>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</si>
  <si>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</si>
  <si>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</si>
  <si>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</si>
  <si>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</si>
  <si>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</si>
  <si>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</si>
  <si>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</si>
  <si>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</si>
  <si>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</si>
  <si>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</si>
  <si>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</si>
  <si>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</si>
  <si>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</si>
  <si>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</si>
  <si>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</si>
  <si>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</si>
  <si>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</si>
  <si>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</si>
  <si>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</si>
  <si>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</si>
  <si>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</si>
  <si>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</si>
  <si>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</si>
  <si>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</si>
  <si>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</si>
  <si>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</si>
  <si>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</si>
  <si>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</si>
  <si>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</si>
  <si>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</si>
  <si>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</si>
  <si>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</si>
  <si>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</si>
  <si>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</si>
  <si>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</si>
  <si>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</si>
  <si>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</si>
  <si>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</si>
  <si>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</si>
  <si>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</si>
  <si>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</si>
  <si>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</si>
  <si>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</si>
  <si>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</si>
  <si>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</si>
  <si>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</si>
  <si>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</si>
  <si>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</si>
  <si>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</si>
  <si>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</si>
  <si>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</si>
  <si>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</si>
  <si>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</si>
  <si>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</si>
  <si>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</si>
  <si>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</si>
  <si>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</si>
  <si>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</si>
  <si>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</si>
  <si>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</si>
  <si>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</si>
  <si>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</si>
  <si>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</si>
  <si>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</si>
  <si>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</si>
  <si>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</si>
  <si>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</si>
  <si>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</si>
  <si>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</si>
  <si>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</si>
  <si>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</si>
  <si>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</si>
  <si>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</si>
  <si>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</si>
  <si>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</si>
  <si>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</si>
  <si>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</si>
  <si>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</si>
  <si>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</si>
  <si>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</si>
  <si>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</si>
  <si>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</si>
  <si>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</si>
  <si>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</si>
  <si>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</si>
  <si>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</si>
  <si>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</si>
  <si>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</si>
  <si>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</si>
  <si>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</si>
  <si>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</si>
  <si>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</si>
  <si>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</si>
  <si>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</si>
  <si>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</si>
  <si>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</si>
  <si>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</si>
  <si>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</si>
  <si>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</si>
  <si>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</si>
  <si>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</si>
  <si>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</si>
  <si>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</si>
  <si>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</si>
  <si>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</si>
  <si>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</si>
  <si>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</si>
  <si>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</si>
  <si>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</si>
  <si>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</si>
  <si>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</si>
  <si>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</si>
  <si>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</si>
  <si>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</si>
  <si>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</si>
  <si>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</si>
  <si>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</si>
  <si>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</si>
  <si>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</si>
  <si>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</si>
  <si>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</si>
  <si>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</si>
  <si>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</si>
  <si>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</si>
  <si>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</si>
  <si>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</si>
  <si>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</si>
  <si>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</si>
  <si>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</si>
  <si>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</si>
  <si>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</si>
  <si>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</si>
  <si>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</si>
  <si>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</si>
  <si>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</si>
  <si>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</si>
  <si>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</si>
  <si>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</si>
  <si>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</si>
  <si>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</si>
  <si>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</si>
  <si>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</si>
  <si>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</si>
  <si>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</si>
  <si>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</si>
  <si>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</si>
  <si>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</si>
  <si>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</si>
  <si>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</si>
  <si>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</si>
  <si>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</si>
  <si>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</si>
  <si>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</si>
  <si>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</si>
  <si>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</si>
  <si>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</si>
  <si>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</si>
  <si>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</si>
  <si>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</si>
  <si>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</si>
  <si>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</si>
  <si>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</si>
  <si>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</si>
  <si>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</si>
  <si>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</si>
  <si>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</si>
  <si>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</si>
  <si>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</si>
  <si>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</si>
  <si>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</si>
  <si>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</si>
  <si>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</si>
  <si>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</si>
  <si>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</si>
  <si>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</si>
  <si>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</si>
  <si>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</si>
  <si>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</si>
  <si>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</si>
  <si>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</si>
  <si>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</si>
  <si>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</si>
  <si>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</si>
  <si>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</si>
  <si>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</si>
  <si>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</si>
  <si>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</si>
  <si>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</si>
  <si>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</si>
  <si>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</si>
  <si>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</si>
  <si>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</si>
  <si>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</si>
  <si>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</si>
  <si>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</si>
  <si>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</si>
  <si>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</si>
  <si>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</si>
  <si>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</si>
  <si>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</si>
  <si>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</si>
  <si>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</si>
  <si>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</si>
  <si>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</si>
  <si>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</si>
  <si>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</si>
  <si>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</si>
  <si>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</si>
  <si>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</si>
  <si>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</si>
  <si>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</si>
  <si>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</si>
  <si>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</si>
  <si>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</si>
  <si>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</si>
  <si>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</si>
  <si>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</si>
  <si>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</si>
  <si>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</si>
  <si>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</si>
  <si>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</si>
  <si>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</si>
  <si>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</si>
  <si>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</si>
  <si>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</si>
  <si>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</si>
  <si>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</si>
  <si>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</si>
  <si>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</si>
  <si>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</si>
  <si>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</si>
  <si>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</si>
  <si>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</si>
  <si>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</si>
  <si>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</si>
  <si>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</si>
  <si>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</si>
  <si>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</si>
  <si>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</si>
  <si>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</si>
  <si>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</si>
  <si>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</si>
  <si>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</si>
  <si>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</si>
  <si>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</si>
  <si>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</si>
  <si>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</si>
  <si>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</si>
  <si>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</si>
  <si>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</si>
  <si>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</si>
  <si>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</si>
  <si>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</si>
  <si>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</si>
  <si>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</si>
  <si>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</si>
  <si>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</si>
  <si>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</si>
  <si>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</si>
  <si>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</si>
  <si>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</si>
  <si>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</si>
  <si>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</si>
  <si>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</si>
  <si>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</si>
  <si>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</si>
  <si>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</si>
  <si>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</si>
  <si>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</si>
  <si>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</si>
  <si>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</si>
  <si>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</si>
  <si>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</si>
  <si>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</si>
  <si>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</si>
  <si>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</si>
  <si>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</si>
  <si>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</si>
  <si>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</si>
  <si>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</si>
  <si>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</si>
  <si>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</si>
  <si>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</si>
  <si>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</si>
  <si>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</si>
  <si>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</si>
  <si>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</si>
  <si>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</si>
  <si>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</si>
  <si>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</si>
  <si>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</si>
  <si>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</si>
  <si>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</si>
  <si>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</si>
  <si>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</si>
  <si>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</si>
  <si>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</si>
  <si>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</si>
  <si>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</si>
  <si>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</si>
  <si>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</si>
  <si>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</si>
  <si>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</si>
  <si>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</si>
  <si>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</si>
  <si>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</si>
  <si>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</si>
  <si>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</si>
  <si>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</si>
  <si>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</si>
  <si>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</si>
  <si>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</si>
  <si>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</si>
  <si>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</si>
  <si>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</si>
  <si>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</si>
  <si>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</si>
  <si>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</si>
  <si>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</si>
  <si>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</si>
  <si>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</si>
  <si>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</si>
  <si>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</si>
  <si>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</si>
  <si>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</si>
  <si>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</si>
  <si>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</si>
  <si>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</si>
  <si>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</si>
  <si>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</si>
  <si>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</si>
  <si>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</si>
  <si>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</si>
  <si>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</si>
  <si>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</si>
  <si>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</si>
  <si>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</si>
  <si>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</si>
  <si>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</si>
  <si>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</si>
  <si>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</si>
  <si>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</si>
  <si>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</si>
  <si>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</si>
  <si>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</si>
  <si>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</si>
  <si>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</si>
  <si>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</si>
  <si>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</si>
  <si>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</si>
  <si>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</si>
  <si>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</si>
  <si>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</si>
  <si>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</si>
  <si>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</si>
  <si>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</si>
  <si>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</si>
  <si>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</si>
  <si>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</si>
  <si>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</si>
  <si>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</si>
  <si>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</si>
  <si>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</si>
  <si>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</si>
  <si>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</si>
  <si>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</si>
  <si>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</si>
  <si>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</si>
  <si>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</si>
  <si>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</si>
  <si>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</si>
  <si>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</si>
  <si>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</si>
  <si>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</si>
  <si>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</si>
  <si>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</si>
  <si>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</si>
  <si>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</si>
  <si>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</si>
  <si>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</si>
  <si>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</si>
  <si>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</si>
  <si>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</si>
  <si>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</si>
  <si>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</si>
  <si>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</si>
  <si>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</si>
  <si>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</si>
  <si>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</si>
  <si>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</si>
  <si>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</si>
  <si>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</si>
  <si>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</si>
  <si>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</si>
  <si>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</si>
  <si>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</si>
  <si>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</si>
  <si>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</si>
  <si>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</si>
  <si>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</si>
  <si>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</si>
  <si>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</si>
  <si>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</si>
  <si>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</si>
  <si>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</si>
  <si>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</si>
  <si>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</si>
  <si>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</si>
  <si>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</si>
  <si>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</si>
  <si>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</si>
  <si>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</si>
  <si>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</si>
  <si>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</si>
  <si>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</si>
  <si>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</si>
  <si>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</si>
  <si>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</si>
  <si>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</si>
  <si>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</si>
  <si>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</si>
  <si>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</si>
  <si>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</si>
  <si>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</si>
  <si>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</si>
  <si>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</si>
  <si>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</si>
  <si>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</si>
  <si>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</si>
  <si>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</si>
  <si>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</si>
  <si>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</si>
  <si>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</si>
  <si>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</si>
  <si>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</si>
  <si>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</si>
  <si>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</si>
  <si>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</si>
  <si>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</si>
  <si>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</si>
  <si>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</si>
  <si>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</si>
  <si>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</si>
  <si>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</si>
  <si>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</si>
  <si>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</si>
  <si>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</si>
  <si>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</si>
  <si>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</si>
  <si>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</si>
  <si>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</si>
  <si>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</si>
  <si>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</si>
  <si>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</si>
  <si>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</si>
  <si>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</si>
  <si>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</si>
  <si>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</si>
  <si>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</si>
  <si>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</si>
  <si>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</si>
  <si>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</si>
  <si>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</si>
  <si>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</si>
  <si>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</si>
  <si>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</si>
  <si>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</si>
  <si>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</si>
  <si>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</si>
  <si>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</si>
  <si>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</si>
  <si>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</si>
  <si>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</si>
  <si>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</si>
  <si>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</si>
  <si>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</si>
  <si>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</si>
  <si>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</si>
  <si>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</si>
  <si>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</si>
  <si>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</si>
  <si>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</si>
  <si>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</si>
  <si>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</si>
  <si>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</si>
  <si>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</si>
  <si>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</si>
  <si>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</si>
  <si>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</si>
  <si>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</si>
  <si>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</si>
  <si>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</si>
  <si>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</si>
  <si>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</si>
  <si>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</si>
  <si>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</si>
  <si>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</si>
  <si>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</si>
  <si>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</si>
  <si>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</si>
  <si>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</si>
  <si>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</si>
  <si>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</si>
  <si>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</si>
  <si>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</si>
  <si>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</si>
  <si>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</si>
  <si>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</si>
  <si>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</si>
  <si>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</si>
  <si>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</si>
  <si>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</si>
  <si>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</si>
  <si>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</si>
  <si>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</si>
  <si>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</si>
  <si>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</si>
  <si>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</si>
  <si>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</si>
  <si>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</si>
  <si>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</si>
  <si>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</si>
  <si>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</si>
  <si>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</si>
  <si>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</si>
  <si>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</si>
  <si>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</si>
  <si>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</si>
  <si>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</si>
  <si>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</si>
  <si>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</si>
  <si>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</si>
  <si>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</si>
  <si>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</si>
  <si>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</si>
  <si>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</si>
  <si>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</si>
  <si>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</si>
  <si>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</si>
  <si>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</si>
  <si>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</si>
  <si>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</si>
  <si>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</si>
  <si>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</si>
  <si>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</si>
  <si>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</si>
  <si>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</si>
  <si>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</si>
  <si>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</si>
  <si>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</si>
  <si>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</si>
  <si>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</si>
  <si>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</si>
  <si>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</si>
  <si>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</si>
  <si>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</si>
  <si>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</si>
  <si>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</si>
  <si>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</si>
  <si>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</si>
  <si>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</si>
  <si>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</si>
  <si>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</si>
  <si>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</si>
  <si>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</si>
  <si>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</si>
  <si>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</si>
  <si>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</si>
  <si>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</si>
  <si>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</si>
  <si>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</si>
  <si>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</si>
  <si>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</si>
  <si>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</si>
  <si>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</si>
  <si>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</si>
  <si>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</si>
  <si>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</si>
  <si>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</si>
  <si>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</si>
  <si>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</si>
  <si>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</si>
  <si>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</si>
  <si>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</si>
  <si>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</si>
  <si>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</si>
  <si>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</si>
  <si>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</si>
  <si>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</si>
  <si>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</si>
  <si>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</si>
  <si>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</si>
  <si>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</si>
  <si>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</si>
  <si>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</si>
  <si>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</si>
  <si>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</si>
  <si>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</si>
  <si>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</si>
  <si>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</si>
  <si>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</si>
  <si>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</si>
  <si>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</si>
  <si>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</si>
  <si>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</si>
  <si>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</si>
  <si>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</si>
  <si>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</si>
  <si>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</si>
  <si>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</si>
  <si>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</si>
  <si>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</si>
  <si>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</si>
  <si>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</si>
  <si>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</si>
  <si>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</si>
  <si>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</si>
  <si>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</si>
  <si>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</si>
  <si>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</si>
  <si>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</si>
  <si>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</si>
  <si>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</si>
  <si>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</si>
  <si>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</si>
  <si>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</si>
  <si>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</si>
  <si>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</si>
  <si>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</si>
  <si>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</si>
  <si>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</si>
  <si>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</si>
  <si>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</si>
  <si>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</si>
  <si>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</si>
  <si>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</si>
  <si>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</si>
  <si>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</si>
  <si>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</si>
  <si>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</si>
  <si>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</si>
  <si>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</si>
  <si>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</si>
  <si>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</si>
  <si>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</si>
  <si>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</si>
  <si>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</si>
  <si>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</si>
  <si>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</si>
  <si>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</si>
  <si>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</si>
  <si>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</si>
  <si>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</si>
  <si>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</si>
  <si>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</si>
  <si>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</si>
  <si>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</si>
  <si>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</si>
  <si>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</si>
  <si>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</si>
  <si>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</si>
  <si>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</si>
  <si>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</si>
  <si>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</si>
  <si>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</si>
  <si>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</si>
  <si>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</si>
  <si>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</si>
  <si>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</si>
  <si>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</si>
  <si>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</si>
  <si>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</si>
  <si>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</si>
  <si>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</si>
  <si>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</si>
  <si>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</si>
  <si>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</si>
  <si>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</si>
  <si>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</si>
  <si>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</si>
  <si>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</si>
  <si>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</si>
  <si>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</si>
  <si>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</si>
  <si>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</si>
  <si>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</si>
  <si>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</si>
  <si>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</si>
  <si>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</si>
  <si>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</si>
  <si>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</si>
  <si>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</si>
  <si>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</si>
  <si>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</si>
  <si>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</si>
  <si>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</si>
  <si>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</si>
  <si>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</si>
  <si>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</si>
  <si>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</si>
  <si>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</si>
  <si>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</si>
  <si>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</si>
  <si>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</si>
  <si>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</si>
  <si>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</si>
  <si>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</si>
  <si>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</si>
  <si>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</si>
  <si>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</si>
  <si>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</si>
  <si>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</si>
  <si>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</si>
  <si>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</si>
  <si>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</si>
  <si>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</si>
  <si>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</si>
  <si>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</si>
  <si>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</si>
  <si>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</si>
  <si>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</si>
  <si>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</si>
  <si>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</si>
  <si>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</si>
  <si>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</si>
  <si>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</si>
  <si>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</si>
  <si>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</si>
  <si>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</si>
  <si>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</si>
  <si>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</si>
  <si>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</si>
  <si>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</si>
  <si>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</si>
  <si>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</si>
  <si>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</si>
  <si>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</si>
  <si>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</si>
  <si>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</si>
  <si>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</si>
  <si>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</si>
  <si>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</si>
  <si>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</si>
  <si>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</si>
  <si>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</si>
  <si>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</si>
  <si>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</si>
  <si>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</si>
  <si>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</si>
  <si>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</si>
  <si>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</si>
  <si>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</si>
  <si>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</si>
  <si>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</si>
  <si>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</si>
  <si>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</si>
  <si>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</si>
  <si>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</si>
  <si>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</si>
  <si>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</si>
  <si>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</si>
  <si>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</si>
  <si>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</si>
  <si>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</si>
  <si>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</si>
  <si>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</si>
  <si>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</si>
  <si>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</si>
  <si>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</si>
  <si>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</si>
  <si>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</si>
  <si>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</si>
  <si>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</si>
  <si>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</si>
  <si>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</si>
  <si>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</si>
  <si>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</si>
  <si>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</si>
  <si>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</si>
  <si>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</si>
  <si>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</si>
  <si>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</si>
  <si>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</si>
  <si>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</si>
  <si>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</si>
  <si>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</si>
  <si>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</si>
  <si>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</si>
  <si>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</si>
  <si>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</si>
  <si>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</si>
  <si>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</si>
  <si>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</si>
  <si>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</si>
  <si>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</si>
  <si>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</si>
  <si>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</si>
  <si>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</si>
  <si>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</si>
  <si>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</si>
  <si>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</si>
  <si>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</si>
  <si>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</si>
  <si>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</si>
  <si>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</si>
  <si>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</si>
  <si>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</si>
  <si>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</si>
  <si>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</si>
  <si>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</si>
  <si>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</si>
  <si>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</si>
  <si>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</si>
  <si>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</si>
  <si>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</si>
  <si>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</si>
  <si>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</si>
  <si>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</si>
  <si>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</si>
  <si>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</si>
  <si>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</si>
  <si>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</si>
  <si>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</si>
  <si>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</si>
  <si>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</si>
  <si>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</si>
  <si>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</si>
  <si>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</si>
  <si>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</si>
  <si>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</si>
  <si>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</si>
  <si>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</si>
  <si>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</si>
  <si>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</si>
  <si>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</si>
  <si>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</si>
  <si>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</si>
  <si>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</si>
  <si>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</si>
  <si>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</si>
  <si>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</si>
  <si>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</si>
  <si>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</si>
  <si>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</si>
  <si>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</si>
  <si>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</si>
  <si>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</si>
  <si>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</si>
  <si>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</si>
  <si>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</si>
  <si>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</si>
  <si>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</si>
  <si>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</si>
  <si>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</si>
  <si>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</si>
  <si>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</si>
  <si>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</si>
  <si>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</si>
  <si>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</si>
  <si>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</si>
  <si>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</si>
  <si>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</si>
  <si>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</si>
  <si>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</si>
  <si>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</si>
  <si>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</si>
  <si>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</si>
  <si>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</si>
  <si>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</si>
  <si>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</si>
  <si>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</si>
  <si>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</si>
  <si>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</si>
  <si>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</si>
  <si>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</si>
  <si>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</si>
  <si>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</si>
  <si>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</si>
  <si>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</si>
  <si>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</si>
  <si>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</si>
  <si>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</si>
  <si>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</si>
  <si>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</si>
  <si>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</si>
  <si>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</si>
  <si>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</si>
  <si>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</si>
  <si>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</si>
  <si>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</si>
  <si>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</si>
  <si>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</si>
  <si>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</si>
  <si>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</si>
  <si>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</si>
  <si>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</si>
  <si>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</si>
  <si>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</si>
  <si>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</si>
  <si>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</si>
  <si>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</si>
  <si>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</si>
  <si>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</si>
  <si>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</si>
  <si>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</si>
  <si>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number</t>
  </si>
  <si>
    <t>common_data_type</t>
  </si>
  <si>
    <t>登録データタイプ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</si>
  <si>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</si>
  <si>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</si>
  <si>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</si>
  <si>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</si>
  <si>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</si>
  <si>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</si>
  <si>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</si>
  <si>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</si>
  <si>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</si>
  <si>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experiments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</si>
  <si>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</si>
  <si>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</si>
  <si>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</si>
  <si>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</si>
  <si>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</si>
  <si>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</si>
  <si>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</si>
  <si>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</si>
  <si>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</si>
  <si>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</si>
  <si>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</si>
  <si>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コメント</t>
  </si>
  <si>
    <t>Comment</t>
  </si>
  <si>
    <t>deg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</si>
  <si>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</si>
  <si>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</si>
  <si>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</si>
  <si>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</si>
  <si>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</si>
  <si>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</si>
  <si>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</si>
  <si>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</si>
  <si>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</si>
  <si>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</si>
  <si>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</si>
  <si>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</si>
  <si>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measurement_energy_level_transition_structure_etc_of_interst</t>
  </si>
  <si>
    <t>対象準位_遷移_構造</t>
  </si>
  <si>
    <t>Energy level_transition_structure etc. of interst</t>
  </si>
  <si>
    <t>measurement_measured_date</t>
  </si>
  <si>
    <t>分析年月日</t>
  </si>
  <si>
    <t>Measured 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</si>
  <si>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</si>
  <si>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</si>
  <si>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</si>
  <si>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</si>
  <si>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</si>
  <si>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</si>
  <si>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measurement</t>
  </si>
  <si>
    <t>kV</t>
  </si>
  <si>
    <t>装置情報から自動取得します</t>
  </si>
  <si>
    <t>Automatically get from device output</t>
  </si>
  <si>
    <t>使用検出器名称</t>
  </si>
  <si>
    <t>Selected Detector Name</t>
  </si>
  <si>
    <t>X線ターゲットの材質</t>
  </si>
  <si>
    <t>X-ray Target Material</t>
  </si>
  <si>
    <t>K_alpha1の波長</t>
  </si>
  <si>
    <t>K_alpha_1 Wavelength</t>
  </si>
  <si>
    <t>K_alpha2の波長</t>
  </si>
  <si>
    <t>K_alpha_2 Wavelength</t>
  </si>
  <si>
    <t>X線管電流</t>
  </si>
  <si>
    <t>X-ray Tube Current</t>
  </si>
  <si>
    <t>X線管電圧</t>
  </si>
  <si>
    <t>X-ray Tube Voltage</t>
  </si>
  <si>
    <t>スキャンモード</t>
  </si>
  <si>
    <t>Scan Mode</t>
  </si>
  <si>
    <t>スキャンステップサイズ</t>
  </si>
  <si>
    <t>Scan Step Size</t>
  </si>
  <si>
    <t>スキャン開始位置</t>
  </si>
  <si>
    <t>Scan Starting Position</t>
  </si>
  <si>
    <t>分光器</t>
  </si>
  <si>
    <t>Monochromator</t>
  </si>
  <si>
    <t>main_image_setting</t>
  </si>
  <si>
    <t>代表画像の設定</t>
  </si>
  <si>
    <t>Main Image Setting</t>
  </si>
  <si>
    <t>meas_scan_axis_x</t>
  </si>
  <si>
    <t>X軸ラベル(名称)</t>
  </si>
  <si>
    <t>Measurement scan axis X</t>
  </si>
  <si>
    <t>meas_scan_unit_x</t>
  </si>
  <si>
    <t>X軸ラベル(単位)</t>
  </si>
  <si>
    <t>Measurement scan unit X</t>
  </si>
  <si>
    <t>meas_scan_axis_y</t>
  </si>
  <si>
    <t>Y軸ラベル(名称)</t>
  </si>
  <si>
    <t>Measurement scan axis Y</t>
  </si>
  <si>
    <t>meas_scan_unit_y</t>
  </si>
  <si>
    <t>Y軸ラベル(単位)</t>
  </si>
  <si>
    <t>Measurement scan unit Y</t>
  </si>
  <si>
    <t>mA</t>
  </si>
  <si>
    <t>measurement_temperature</t>
  </si>
  <si>
    <t>測定温度</t>
  </si>
  <si>
    <t>Measurement Temperature</t>
  </si>
  <si>
    <t>C</t>
  </si>
  <si>
    <t>sample_holder_name</t>
  </si>
  <si>
    <t>試料ホルダー名</t>
  </si>
  <si>
    <t>Sample Holder Name</t>
  </si>
  <si>
    <t>XRD</t>
  </si>
  <si>
    <t>散乱_回折</t>
  </si>
  <si>
    <t>X線回折</t>
  </si>
  <si>
    <t>RDEDatasetTemplateSheet_RDE_XRD_rigaku</t>
    <phoneticPr fontId="2"/>
  </si>
  <si>
    <t>標準データセットテンプレートRDE_XRDのrigaku用RDEデータセットテンプレート</t>
    <rPh sb="0" eb="2">
      <t xml:space="preserve">ヒョウジュン </t>
    </rPh>
    <phoneticPr fontId="2"/>
  </si>
  <si>
    <t>ras.comment</t>
  </si>
  <si>
    <t>ras.memo</t>
  </si>
  <si>
    <t>メモ</t>
  </si>
  <si>
    <t>Memo</t>
  </si>
  <si>
    <t>ras.measurement_operator</t>
  </si>
  <si>
    <t>測定実施者</t>
  </si>
  <si>
    <t>Measurement Operator</t>
  </si>
  <si>
    <t>ras.specimen</t>
  </si>
  <si>
    <t>試料</t>
  </si>
  <si>
    <t>Specimen</t>
  </si>
  <si>
    <t>ras.detector_pixel_size</t>
  </si>
  <si>
    <t>検出器ピクセルサイズ</t>
  </si>
  <si>
    <t>Detector Pixel Size</t>
  </si>
  <si>
    <t>ras.selected_detector_name</t>
  </si>
  <si>
    <t>ras.x-ray_target_material</t>
  </si>
  <si>
    <t>ras.k_alpha_1_wavelength</t>
  </si>
  <si>
    <t>ras.k_alpha_2_wavelength</t>
  </si>
  <si>
    <t>ras.k_beta_wavelength</t>
  </si>
  <si>
    <t>K_betaの波長</t>
  </si>
  <si>
    <t>K_beta Wavelength</t>
  </si>
  <si>
    <t>ras.optics_attribute</t>
  </si>
  <si>
    <t>光学系属性</t>
  </si>
  <si>
    <t>Optics Attribute</t>
  </si>
  <si>
    <t>ras.x-ray_tube_current</t>
  </si>
  <si>
    <t>ras.x-ray_tube_voltage</t>
  </si>
  <si>
    <t>ras.wavelength_type</t>
  </si>
  <si>
    <t>波長タイプ</t>
  </si>
  <si>
    <t>Wavelength Type</t>
  </si>
  <si>
    <t>ras.data_point_number</t>
  </si>
  <si>
    <t>データ点数</t>
  </si>
  <si>
    <t>Data Point Number</t>
  </si>
  <si>
    <t>ras.scan_axis</t>
  </si>
  <si>
    <t>スキャン軸</t>
  </si>
  <si>
    <t>Scan Axis</t>
  </si>
  <si>
    <t>ras.scan_starting_date_time</t>
  </si>
  <si>
    <t>スキャン開始時刻</t>
  </si>
  <si>
    <t>Scan Starting Date Time</t>
  </si>
  <si>
    <t>ras.scan_ending_date_time</t>
  </si>
  <si>
    <t>スキャン終了時刻</t>
  </si>
  <si>
    <t>Scan Ending Date Time</t>
  </si>
  <si>
    <t>ras.scan_mode</t>
  </si>
  <si>
    <t>ras.scan_speed</t>
  </si>
  <si>
    <t>スキャンスピード</t>
  </si>
  <si>
    <t>Scan Speed</t>
  </si>
  <si>
    <t>ras.scan_step_size</t>
  </si>
  <si>
    <t>ras.scan_starting_position</t>
  </si>
  <si>
    <t>ras.scan_ending_position</t>
  </si>
  <si>
    <t>スキャン終了位置</t>
  </si>
  <si>
    <t>Scan Ending Position</t>
  </si>
  <si>
    <t>ras.scan_axis_unit</t>
  </si>
  <si>
    <t>スキャン軸の単位</t>
  </si>
  <si>
    <t>Scan Axis Unit</t>
  </si>
  <si>
    <t>ras.intensity_unit</t>
  </si>
  <si>
    <t>強度の単位</t>
  </si>
  <si>
    <t>Intensity Unit</t>
  </si>
  <si>
    <t>rasx.comment</t>
  </si>
  <si>
    <t>rasx.memo</t>
  </si>
  <si>
    <t>rasx.measurement_operator</t>
  </si>
  <si>
    <t>rasx.specimen</t>
  </si>
  <si>
    <t>rasx.detector_pixel_size</t>
  </si>
  <si>
    <t>rasx.selected_detector_name</t>
  </si>
  <si>
    <t>rasx.x-ray_target_material</t>
  </si>
  <si>
    <t>rasx.k_alpha_1_wavelength</t>
  </si>
  <si>
    <t>rasx.k_alpha_2_wavelength</t>
  </si>
  <si>
    <t>rasx.k_beta_wavelength</t>
  </si>
  <si>
    <t>rasx.optics_attribute</t>
  </si>
  <si>
    <t>rasx.x-ray_tube_current</t>
  </si>
  <si>
    <t>rasx.x-ray_tube_voltage</t>
  </si>
  <si>
    <t>rasx.wavelength_type</t>
  </si>
  <si>
    <t>rasx.data_point_number</t>
  </si>
  <si>
    <t>rasx.scan_axis</t>
  </si>
  <si>
    <t>rasx.scan_starting_date_time</t>
  </si>
  <si>
    <t>rasx.scan_ending_date_time</t>
  </si>
  <si>
    <t>rasx.scan_mode</t>
  </si>
  <si>
    <t>rasx.scan_speed</t>
  </si>
  <si>
    <t>rasx.scan_step_size</t>
  </si>
  <si>
    <t>rasx.scan_starting_position</t>
  </si>
  <si>
    <t>rasx.scan_ending_position</t>
  </si>
  <si>
    <t>rasx.scan_axis_unit</t>
  </si>
  <si>
    <t>rasx.intensity_unit</t>
  </si>
  <si>
    <t>txt.comment</t>
  </si>
  <si>
    <t>txt.specimen</t>
  </si>
  <si>
    <t>txt.selected_detector_name</t>
  </si>
  <si>
    <t>txt.x-ray_tube_current</t>
  </si>
  <si>
    <t>txt.x-ray_tube_voltage</t>
  </si>
  <si>
    <t>txt.scan_axis</t>
  </si>
  <si>
    <t>txt.scan_starting_date_time</t>
  </si>
  <si>
    <t>datetime</t>
  </si>
  <si>
    <t>txt.scan_ending_date_time</t>
  </si>
  <si>
    <t>txt.scan_mode</t>
  </si>
  <si>
    <t>txt.scan_speed</t>
  </si>
  <si>
    <t>txt.scan_step_size</t>
  </si>
  <si>
    <t>txt.scan_starting_position</t>
  </si>
  <si>
    <t>txt.scan_ending_position</t>
  </si>
  <si>
    <t>txt.attachment</t>
  </si>
  <si>
    <t>付属試料台</t>
  </si>
  <si>
    <t>Attachment</t>
  </si>
  <si>
    <t>txt.monochromator</t>
  </si>
  <si>
    <t>txt.incidentbeampath_divergence_slit_width（angle)</t>
  </si>
  <si>
    <t>入射光_発散スリット幅（角度）</t>
  </si>
  <si>
    <t>incidentBeamPath_divergence slit width（angle)</t>
  </si>
  <si>
    <t>txt.diffractedbeampath_anti-scatter_slit_width</t>
  </si>
  <si>
    <t>出射光_散乱スリット幅</t>
  </si>
  <si>
    <t>diffractedBeamPath_anti-scatter slit width</t>
  </si>
  <si>
    <t>txt.diffractedbeampath_receiving_slit_width</t>
  </si>
  <si>
    <t>出射光_受光スリット幅</t>
  </si>
  <si>
    <t>diffractedBeamPath_receiving slit width</t>
  </si>
  <si>
    <t>txt.incidenting_slit</t>
  </si>
  <si>
    <t>入射スリット</t>
  </si>
  <si>
    <t>incidenting slit</t>
  </si>
  <si>
    <t>txt.receiving_slit_1</t>
  </si>
  <si>
    <t>受光スリット1</t>
  </si>
  <si>
    <t>receiving slit 1</t>
  </si>
  <si>
    <t>txt.receiving_slit_2</t>
  </si>
  <si>
    <t>受光スリット2</t>
  </si>
  <si>
    <t>receiving slit 2</t>
  </si>
  <si>
    <t>mm</t>
  </si>
  <si>
    <t>Angstrom</t>
  </si>
  <si>
    <t>$HW_XG_CURRENT_UNIT</t>
  </si>
  <si>
    <t>$HW_XG_VOLTAGE_UNIT</t>
  </si>
  <si>
    <t>$MEAS_SCAN_SPEED_UNIT</t>
  </si>
  <si>
    <t>$MEAS_SCAN_UNIT_X</t>
  </si>
  <si>
    <t>$CurrentUnit</t>
  </si>
  <si>
    <t>$VoltageUnit</t>
  </si>
  <si>
    <t>$SpeedUnit</t>
  </si>
  <si>
    <t>$PositionUnit</t>
  </si>
  <si>
    <t>deg/min</t>
  </si>
  <si>
    <t>ras形式</t>
  </si>
  <si>
    <t>rasx形式</t>
  </si>
  <si>
    <t>txt形式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</si>
</sst>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4" sqref="B4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1570</v>
      </c>
      <c r="C1" s="22" t="s">
        <v>1384</v>
      </c>
    </row>
    <row r="2" spans="1:3" ht="18">
      <c r="A2" s="1" t="s">
        <v>1385</v>
      </c>
      <c r="B2" s="9" t="s">
        <v>1570</v>
      </c>
      <c r="C2" s="22" t="s">
        <v>1384</v>
      </c>
    </row>
    <row r="3" spans="1:3" ht="18">
      <c r="A3" s="1" t="s">
        <v>1386</v>
      </c>
      <c r="B3" s="9" t="s">
        <v>1570</v>
      </c>
      <c r="C3" s="22" t="s">
        <v>1387</v>
      </c>
    </row>
    <row r="4" spans="1:3">
      <c r="A4" s="1" t="s">
        <v>1388</v>
      </c>
      <c r="B4" s="22" t="s">
        <v>1571</v>
      </c>
      <c r="C4" s="22"/>
    </row>
    <row r="5" spans="1:3" ht="18">
      <c r="A5" s="21"/>
    </row>
    <row r="6" spans="1:3">
      <c r="A6" s="1" t="s">
        <v>1389</v>
      </c>
      <c r="B6" s="30">
        <v>46028</v>
      </c>
      <c r="C6" s="22"/>
    </row>
    <row r="7" spans="1:3">
      <c r="A7" s="1" t="s">
        <v>1390</v>
      </c>
      <c r="B7" s="22" t="s">
        <v>1467</v>
      </c>
      <c r="C7" s="22"/>
    </row>
    <row r="8" spans="1:3">
      <c r="A8" s="1" t="s">
        <v>1391</v>
      </c>
      <c r="B8" s="30">
        <v>46028</v>
      </c>
      <c r="C8" s="22"/>
    </row>
    <row r="9" spans="1:3">
      <c r="A9" s="1" t="s">
        <v>1392</v>
      </c>
      <c r="B9" s="22" t="s">
        <v>1467</v>
      </c>
      <c r="C9" s="22"/>
    </row>
    <row r="13" spans="1:3">
      <c r="A13" t="s">
        <v>1466</v>
      </c>
    </row>
    <row r="15" spans="1:3" ht="18" thickBot="1"/>
    <row r="16" spans="1:3" ht="18" thickTop="1">
      <c r="A16" s="31" t="s">
        <v>1452</v>
      </c>
      <c r="B16" s="32"/>
    </row>
    <row r="17" spans="1:2">
      <c r="A17" s="33"/>
      <c r="B17" s="34"/>
    </row>
    <row r="18" spans="1:2">
      <c r="A18" s="33" t="s">
        <v>1453</v>
      </c>
      <c r="B18" s="34"/>
    </row>
    <row r="19" spans="1:2">
      <c r="A19" s="33" t="s">
        <v>1454</v>
      </c>
      <c r="B19" s="34"/>
    </row>
    <row r="20" spans="1:2">
      <c r="A20" s="33"/>
      <c r="B20" s="34"/>
    </row>
    <row r="21" spans="1:2">
      <c r="A21" s="33" t="s">
        <v>1455</v>
      </c>
      <c r="B21" s="34"/>
    </row>
    <row r="22" spans="1:2">
      <c r="A22" s="33" t="s">
        <v>1456</v>
      </c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/>
      <c r="B25" s="34"/>
    </row>
    <row r="26" spans="1:2">
      <c r="A26" s="33" t="s">
        <v>1459</v>
      </c>
      <c r="B26" s="34"/>
    </row>
    <row r="27" spans="1:2">
      <c r="A27" s="33"/>
      <c r="B27" s="34"/>
    </row>
    <row r="28" spans="1:2">
      <c r="A28" s="35"/>
      <c r="B28" s="34" t="s">
        <v>1460</v>
      </c>
    </row>
    <row r="29" spans="1:2">
      <c r="A29" s="33"/>
      <c r="B29" s="34" t="s">
        <v>1461</v>
      </c>
    </row>
    <row r="30" spans="1:2">
      <c r="A30" s="36"/>
      <c r="B30" s="34" t="s">
        <v>1462</v>
      </c>
    </row>
    <row r="31" spans="1:2">
      <c r="A31" s="37"/>
      <c r="B31" s="34" t="s">
        <v>1463</v>
      </c>
    </row>
    <row r="32" spans="1:2">
      <c r="A32" s="33"/>
      <c r="B32" s="34"/>
    </row>
    <row r="33" spans="1:2">
      <c r="A33" s="33"/>
      <c r="B33" s="34"/>
    </row>
    <row r="34" spans="1:2">
      <c r="A34" s="33" t="s">
        <v>1464</v>
      </c>
      <c r="B34" s="34"/>
    </row>
    <row r="35" spans="1:2" ht="18" thickBot="1">
      <c r="A35" s="38" t="s">
        <v>1465</v>
      </c>
      <c r="B35" s="39"/>
    </row>
    <row r="36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82"/>
  <sheetViews>
    <sheetView zoomScale="85" zoomScaleNormal="85" workbookViewId="0">
      <pane xSplit="3" ySplit="2" topLeftCell="G3" activePane="bottomRight" state="frozen"/>
      <selection pane="topRight" activeCell="D1" sqref="D1"/>
      <selection pane="bottomLeft" activeCell="A3" sqref="A3"/>
      <selection pane="bottomRight" activeCell="C4" sqref="C4:N22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1429</v>
      </c>
      <c r="E1" s="1" t="s">
        <v>1444</v>
      </c>
      <c r="F1" s="1" t="s">
        <v>1445</v>
      </c>
      <c r="G1" s="1" t="s">
        <v>23</v>
      </c>
      <c r="H1" s="1" t="s">
        <v>24</v>
      </c>
      <c r="I1" s="1" t="s">
        <v>26</v>
      </c>
      <c r="J1" s="1" t="s">
        <v>1393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1397</v>
      </c>
      <c r="C2" s="2" t="s">
        <v>47</v>
      </c>
      <c r="D2" s="2" t="s">
        <v>1449</v>
      </c>
      <c r="E2" s="2" t="s">
        <v>1450</v>
      </c>
      <c r="F2" s="2" t="s">
        <v>1451</v>
      </c>
      <c r="G2" s="2" t="s">
        <v>48</v>
      </c>
      <c r="H2" s="2" t="s">
        <v>49</v>
      </c>
      <c r="I2" s="2" t="s">
        <v>46</v>
      </c>
      <c r="J2" s="2" t="s">
        <v>1396</v>
      </c>
      <c r="K2" s="2" t="s">
        <v>1394</v>
      </c>
      <c r="L2" s="2" t="s">
        <v>1395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1427</v>
      </c>
      <c r="B3" s="3" t="s">
        <v>1402</v>
      </c>
      <c r="C3" s="9" t="s">
        <v>1572</v>
      </c>
      <c r="D3" s="5"/>
      <c r="E3" s="5"/>
      <c r="F3" s="5"/>
      <c r="G3" s="4" t="s">
        <v>1493</v>
      </c>
      <c r="H3" s="4" t="s">
        <v>1494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 t="s">
        <v>1699</v>
      </c>
      <c r="Q3" s="20">
        <v>1</v>
      </c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1402</v>
      </c>
      <c r="C4" s="9" t="s">
        <v>1573</v>
      </c>
      <c r="D4" s="5"/>
      <c r="E4" s="5"/>
      <c r="F4" s="5"/>
      <c r="G4" s="4" t="s">
        <v>1574</v>
      </c>
      <c r="H4" s="4" t="s">
        <v>1575</v>
      </c>
      <c r="I4" s="5"/>
      <c r="J4" s="6" t="s">
        <v>4</v>
      </c>
      <c r="K4" s="23" t="str">
        <f t="shared" ref="K4:K81" si="0">_xlfn.IFS(J4="integer","integer",J4="number","number",J4="array","array",J4="boolean","boolean",TRUE,"string")</f>
        <v>string</v>
      </c>
      <c r="L4" s="23" t="str">
        <f t="shared" ref="L4:L81" si="1">_xlfn.IFS(J4="datetime","date-time",J4="duration","duration",TRUE,"")</f>
        <v/>
      </c>
      <c r="M4" s="20"/>
      <c r="N4" s="20"/>
      <c r="O4" s="20"/>
      <c r="P4" s="20" t="s">
        <v>1699</v>
      </c>
      <c r="Q4" s="20">
        <v>1</v>
      </c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1402</v>
      </c>
      <c r="C5" s="9" t="s">
        <v>1576</v>
      </c>
      <c r="D5" s="5"/>
      <c r="E5" s="5"/>
      <c r="F5" s="5"/>
      <c r="G5" s="4" t="s">
        <v>1577</v>
      </c>
      <c r="H5" s="4" t="s">
        <v>1578</v>
      </c>
      <c r="I5" s="5"/>
      <c r="J5" s="6" t="s">
        <v>4</v>
      </c>
      <c r="K5" s="23" t="str">
        <f t="shared" ref="K5:K9" si="2">_xlfn.IFS(J5="integer","integer",J5="number","number",J5="array","array",J5="boolean","boolean",TRUE,"string")</f>
        <v>string</v>
      </c>
      <c r="L5" s="23" t="str">
        <f t="shared" ref="L5:L9" si="3">_xlfn.IFS(J5="datetime","date-time",J5="duration","duration",TRUE,"")</f>
        <v/>
      </c>
      <c r="M5" s="20"/>
      <c r="N5" s="20"/>
      <c r="O5" s="20"/>
      <c r="P5" s="20" t="s">
        <v>1699</v>
      </c>
      <c r="Q5" s="20">
        <v>1</v>
      </c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1402</v>
      </c>
      <c r="C6" s="9" t="s">
        <v>1579</v>
      </c>
      <c r="D6" s="5"/>
      <c r="E6" s="5"/>
      <c r="F6" s="5"/>
      <c r="G6" s="4" t="s">
        <v>1580</v>
      </c>
      <c r="H6" s="4" t="s">
        <v>1581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 t="s">
        <v>1699</v>
      </c>
      <c r="Q6" s="20">
        <v>1</v>
      </c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1402</v>
      </c>
      <c r="C7" s="9" t="s">
        <v>1582</v>
      </c>
      <c r="D7" s="5"/>
      <c r="E7" s="5"/>
      <c r="F7" s="5"/>
      <c r="G7" s="4" t="s">
        <v>1583</v>
      </c>
      <c r="H7" s="4" t="s">
        <v>1584</v>
      </c>
      <c r="I7" s="5"/>
      <c r="J7" s="6" t="s">
        <v>1469</v>
      </c>
      <c r="K7" s="23" t="str">
        <f t="shared" si="2"/>
        <v>number</v>
      </c>
      <c r="L7" s="23" t="str">
        <f t="shared" si="3"/>
        <v/>
      </c>
      <c r="M7" s="20" t="s">
        <v>1688</v>
      </c>
      <c r="N7" s="20"/>
      <c r="O7" s="20"/>
      <c r="P7" s="20" t="s">
        <v>1699</v>
      </c>
      <c r="Q7" s="20">
        <v>1</v>
      </c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1402</v>
      </c>
      <c r="C8" s="9" t="s">
        <v>1585</v>
      </c>
      <c r="D8" s="5"/>
      <c r="E8" s="5"/>
      <c r="F8" s="5"/>
      <c r="G8" s="4" t="s">
        <v>1524</v>
      </c>
      <c r="H8" s="4" t="s">
        <v>1525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 t="s">
        <v>1699</v>
      </c>
      <c r="Q8" s="20">
        <v>1</v>
      </c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1402</v>
      </c>
      <c r="C9" s="9" t="s">
        <v>1586</v>
      </c>
      <c r="D9" s="5"/>
      <c r="E9" s="5"/>
      <c r="F9" s="5"/>
      <c r="G9" s="4" t="s">
        <v>1526</v>
      </c>
      <c r="H9" s="4" t="s">
        <v>1527</v>
      </c>
      <c r="I9" s="5"/>
      <c r="J9" s="6" t="s">
        <v>4</v>
      </c>
      <c r="K9" s="23" t="str">
        <f t="shared" si="2"/>
        <v>string</v>
      </c>
      <c r="L9" s="23" t="str">
        <f t="shared" si="3"/>
        <v/>
      </c>
      <c r="M9" s="20"/>
      <c r="N9" s="20"/>
      <c r="O9" s="20"/>
      <c r="P9" s="20" t="s">
        <v>1699</v>
      </c>
      <c r="Q9" s="20">
        <v>1</v>
      </c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1402</v>
      </c>
      <c r="C10" s="9" t="s">
        <v>1587</v>
      </c>
      <c r="D10" s="5"/>
      <c r="E10" s="5"/>
      <c r="F10" s="5"/>
      <c r="G10" s="4" t="s">
        <v>1528</v>
      </c>
      <c r="H10" s="4" t="s">
        <v>1529</v>
      </c>
      <c r="I10" s="5"/>
      <c r="J10" s="6" t="s">
        <v>1469</v>
      </c>
      <c r="K10" s="23" t="str">
        <f t="shared" ref="K10:K19" si="4">_xlfn.IFS(J10="integer","integer",J10="number","number",J10="array","array",J10="boolean","boolean",TRUE,"string")</f>
        <v>number</v>
      </c>
      <c r="L10" s="23" t="str">
        <f t="shared" ref="L10:L19" si="5">_xlfn.IFS(J10="datetime","date-time",J10="duration","duration",TRUE,"")</f>
        <v/>
      </c>
      <c r="M10" s="20" t="s">
        <v>1689</v>
      </c>
      <c r="N10" s="20"/>
      <c r="O10" s="20"/>
      <c r="P10" s="20" t="s">
        <v>1699</v>
      </c>
      <c r="Q10" s="20">
        <v>1</v>
      </c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1402</v>
      </c>
      <c r="C11" s="9" t="s">
        <v>1588</v>
      </c>
      <c r="D11" s="5"/>
      <c r="E11" s="5"/>
      <c r="F11" s="5"/>
      <c r="G11" s="4" t="s">
        <v>1530</v>
      </c>
      <c r="H11" s="4" t="s">
        <v>1531</v>
      </c>
      <c r="I11" s="5"/>
      <c r="J11" s="6" t="s">
        <v>1469</v>
      </c>
      <c r="K11" s="23" t="str">
        <f t="shared" si="4"/>
        <v>number</v>
      </c>
      <c r="L11" s="23" t="str">
        <f t="shared" si="5"/>
        <v/>
      </c>
      <c r="M11" s="20" t="s">
        <v>1689</v>
      </c>
      <c r="N11" s="20"/>
      <c r="O11" s="20"/>
      <c r="P11" s="20" t="s">
        <v>1699</v>
      </c>
      <c r="Q11" s="20">
        <v>1</v>
      </c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1402</v>
      </c>
      <c r="C12" s="9" t="s">
        <v>1589</v>
      </c>
      <c r="D12" s="5"/>
      <c r="E12" s="5"/>
      <c r="F12" s="5"/>
      <c r="G12" s="4" t="s">
        <v>1590</v>
      </c>
      <c r="H12" s="4" t="s">
        <v>1591</v>
      </c>
      <c r="I12" s="5"/>
      <c r="J12" s="6" t="s">
        <v>1469</v>
      </c>
      <c r="K12" s="23" t="str">
        <f t="shared" si="4"/>
        <v>number</v>
      </c>
      <c r="L12" s="23" t="str">
        <f t="shared" si="5"/>
        <v/>
      </c>
      <c r="M12" s="20" t="s">
        <v>1689</v>
      </c>
      <c r="N12" s="20"/>
      <c r="O12" s="20"/>
      <c r="P12" s="20" t="s">
        <v>1699</v>
      </c>
      <c r="Q12" s="20">
        <v>1</v>
      </c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1402</v>
      </c>
      <c r="C13" s="9" t="s">
        <v>1592</v>
      </c>
      <c r="D13" s="5"/>
      <c r="E13" s="5"/>
      <c r="F13" s="5"/>
      <c r="G13" s="4" t="s">
        <v>1593</v>
      </c>
      <c r="H13" s="4" t="s">
        <v>1594</v>
      </c>
      <c r="I13" s="5"/>
      <c r="J13" s="6" t="s">
        <v>4</v>
      </c>
      <c r="K13" s="23" t="str">
        <f t="shared" si="4"/>
        <v>string</v>
      </c>
      <c r="L13" s="23" t="str">
        <f t="shared" si="5"/>
        <v/>
      </c>
      <c r="M13" s="20"/>
      <c r="N13" s="20"/>
      <c r="O13" s="20"/>
      <c r="P13" s="20" t="s">
        <v>1699</v>
      </c>
      <c r="Q13" s="20">
        <v>1</v>
      </c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1402</v>
      </c>
      <c r="C14" s="9" t="s">
        <v>1595</v>
      </c>
      <c r="D14" s="5"/>
      <c r="E14" s="5"/>
      <c r="F14" s="5"/>
      <c r="G14" s="4" t="s">
        <v>1532</v>
      </c>
      <c r="H14" s="4" t="s">
        <v>1533</v>
      </c>
      <c r="I14" s="5"/>
      <c r="J14" s="6" t="s">
        <v>1469</v>
      </c>
      <c r="K14" s="23" t="str">
        <f t="shared" si="4"/>
        <v>number</v>
      </c>
      <c r="L14" s="23" t="str">
        <f t="shared" si="5"/>
        <v/>
      </c>
      <c r="M14" s="20" t="s">
        <v>1690</v>
      </c>
      <c r="N14" s="20"/>
      <c r="O14" s="20"/>
      <c r="P14" s="20" t="s">
        <v>1699</v>
      </c>
      <c r="Q14" s="20">
        <v>1</v>
      </c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1402</v>
      </c>
      <c r="C15" s="9" t="s">
        <v>1596</v>
      </c>
      <c r="D15" s="5"/>
      <c r="E15" s="5"/>
      <c r="F15" s="5"/>
      <c r="G15" s="4" t="s">
        <v>1534</v>
      </c>
      <c r="H15" s="4" t="s">
        <v>1535</v>
      </c>
      <c r="I15" s="5"/>
      <c r="J15" s="6" t="s">
        <v>1469</v>
      </c>
      <c r="K15" s="23" t="str">
        <f t="shared" si="4"/>
        <v>number</v>
      </c>
      <c r="L15" s="23" t="str">
        <f t="shared" si="5"/>
        <v/>
      </c>
      <c r="M15" s="20" t="s">
        <v>1691</v>
      </c>
      <c r="N15" s="20"/>
      <c r="O15" s="20"/>
      <c r="P15" s="20" t="s">
        <v>1699</v>
      </c>
      <c r="Q15" s="20">
        <v>1</v>
      </c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1402</v>
      </c>
      <c r="C16" s="9" t="s">
        <v>1597</v>
      </c>
      <c r="D16" s="5"/>
      <c r="E16" s="5"/>
      <c r="F16" s="5"/>
      <c r="G16" s="4" t="s">
        <v>1598</v>
      </c>
      <c r="H16" s="4" t="s">
        <v>1599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 t="s">
        <v>1699</v>
      </c>
      <c r="Q16" s="20">
        <v>1</v>
      </c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1402</v>
      </c>
      <c r="C17" s="9" t="s">
        <v>1600</v>
      </c>
      <c r="D17" s="5"/>
      <c r="E17" s="5"/>
      <c r="F17" s="5"/>
      <c r="G17" s="4" t="s">
        <v>1601</v>
      </c>
      <c r="H17" s="4" t="s">
        <v>1602</v>
      </c>
      <c r="I17" s="5"/>
      <c r="J17" s="6" t="s">
        <v>1469</v>
      </c>
      <c r="K17" s="23" t="str">
        <f t="shared" si="4"/>
        <v>number</v>
      </c>
      <c r="L17" s="23" t="str">
        <f t="shared" si="5"/>
        <v/>
      </c>
      <c r="M17" s="20"/>
      <c r="N17" s="20"/>
      <c r="O17" s="20"/>
      <c r="P17" s="20" t="s">
        <v>1699</v>
      </c>
      <c r="Q17" s="20">
        <v>1</v>
      </c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1402</v>
      </c>
      <c r="C18" s="9" t="s">
        <v>1603</v>
      </c>
      <c r="D18" s="5"/>
      <c r="E18" s="5"/>
      <c r="F18" s="5"/>
      <c r="G18" s="4" t="s">
        <v>1604</v>
      </c>
      <c r="H18" s="4" t="s">
        <v>1605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/>
      <c r="N18" s="20"/>
      <c r="O18" s="20"/>
      <c r="P18" s="20" t="s">
        <v>1699</v>
      </c>
      <c r="Q18" s="20">
        <v>1</v>
      </c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1402</v>
      </c>
      <c r="C19" s="9" t="s">
        <v>1606</v>
      </c>
      <c r="D19" s="5"/>
      <c r="E19" s="5"/>
      <c r="F19" s="5"/>
      <c r="G19" s="4" t="s">
        <v>1607</v>
      </c>
      <c r="H19" s="4" t="s">
        <v>1608</v>
      </c>
      <c r="I19" s="5"/>
      <c r="J19" s="6" t="s">
        <v>4</v>
      </c>
      <c r="K19" s="23" t="str">
        <f t="shared" si="4"/>
        <v>string</v>
      </c>
      <c r="L19" s="23" t="str">
        <f t="shared" si="5"/>
        <v/>
      </c>
      <c r="M19" s="20"/>
      <c r="N19" s="20"/>
      <c r="O19" s="20"/>
      <c r="P19" s="20" t="s">
        <v>1699</v>
      </c>
      <c r="Q19" s="20">
        <v>1</v>
      </c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1402</v>
      </c>
      <c r="C20" s="9" t="s">
        <v>1609</v>
      </c>
      <c r="D20" s="5"/>
      <c r="E20" s="5"/>
      <c r="F20" s="5"/>
      <c r="G20" s="4" t="s">
        <v>1610</v>
      </c>
      <c r="H20" s="4" t="s">
        <v>1611</v>
      </c>
      <c r="I20" s="5"/>
      <c r="J20" s="6" t="s">
        <v>4</v>
      </c>
      <c r="K20" s="23" t="str">
        <f t="shared" ref="K20:K79" si="6">_xlfn.IFS(J20="integer","integer",J20="number","number",J20="array","array",J20="boolean","boolean",TRUE,"string")</f>
        <v>string</v>
      </c>
      <c r="L20" s="23" t="str">
        <f t="shared" ref="L20:L79" si="7">_xlfn.IFS(J20="datetime","date-time",J20="duration","duration",TRUE,"")</f>
        <v/>
      </c>
      <c r="M20" s="20"/>
      <c r="N20" s="20"/>
      <c r="O20" s="20"/>
      <c r="P20" s="20" t="s">
        <v>1699</v>
      </c>
      <c r="Q20" s="20">
        <v>1</v>
      </c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1402</v>
      </c>
      <c r="C21" s="9" t="s">
        <v>1612</v>
      </c>
      <c r="D21" s="5"/>
      <c r="E21" s="5"/>
      <c r="F21" s="5"/>
      <c r="G21" s="4" t="s">
        <v>1536</v>
      </c>
      <c r="H21" s="4" t="s">
        <v>1537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/>
      <c r="N21" s="20"/>
      <c r="O21" s="20"/>
      <c r="P21" s="20" t="s">
        <v>1699</v>
      </c>
      <c r="Q21" s="20">
        <v>1</v>
      </c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1402</v>
      </c>
      <c r="C22" s="9" t="s">
        <v>1613</v>
      </c>
      <c r="D22" s="5"/>
      <c r="E22" s="5"/>
      <c r="F22" s="5"/>
      <c r="G22" s="4" t="s">
        <v>1614</v>
      </c>
      <c r="H22" s="4" t="s">
        <v>1615</v>
      </c>
      <c r="I22" s="5"/>
      <c r="J22" s="6" t="s">
        <v>1469</v>
      </c>
      <c r="K22" s="23" t="str">
        <f t="shared" si="6"/>
        <v>number</v>
      </c>
      <c r="L22" s="23" t="str">
        <f t="shared" si="7"/>
        <v/>
      </c>
      <c r="M22" s="20" t="s">
        <v>1692</v>
      </c>
      <c r="N22" s="20"/>
      <c r="O22" s="20"/>
      <c r="P22" s="20" t="s">
        <v>1699</v>
      </c>
      <c r="Q22" s="20">
        <v>1</v>
      </c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1402</v>
      </c>
      <c r="C23" s="9" t="s">
        <v>1616</v>
      </c>
      <c r="D23" s="5"/>
      <c r="E23" s="5"/>
      <c r="F23" s="5"/>
      <c r="G23" s="4" t="s">
        <v>1538</v>
      </c>
      <c r="H23" s="4" t="s">
        <v>1539</v>
      </c>
      <c r="I23" s="5"/>
      <c r="J23" s="6" t="s">
        <v>1469</v>
      </c>
      <c r="K23" s="23" t="str">
        <f t="shared" si="6"/>
        <v>number</v>
      </c>
      <c r="L23" s="23" t="str">
        <f t="shared" si="7"/>
        <v/>
      </c>
      <c r="M23" s="20" t="s">
        <v>1693</v>
      </c>
      <c r="N23" s="20"/>
      <c r="O23" s="20"/>
      <c r="P23" s="20" t="s">
        <v>1699</v>
      </c>
      <c r="Q23" s="20">
        <v>1</v>
      </c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1402</v>
      </c>
      <c r="C24" s="9" t="s">
        <v>1617</v>
      </c>
      <c r="D24" s="5"/>
      <c r="E24" s="5"/>
      <c r="F24" s="5"/>
      <c r="G24" s="4" t="s">
        <v>1540</v>
      </c>
      <c r="H24" s="4" t="s">
        <v>1541</v>
      </c>
      <c r="I24" s="5"/>
      <c r="J24" s="6" t="s">
        <v>1469</v>
      </c>
      <c r="K24" s="23" t="str">
        <f t="shared" si="6"/>
        <v>number</v>
      </c>
      <c r="L24" s="23" t="str">
        <f t="shared" si="7"/>
        <v/>
      </c>
      <c r="M24" s="20" t="s">
        <v>1693</v>
      </c>
      <c r="N24" s="20"/>
      <c r="O24" s="20"/>
      <c r="P24" s="20" t="s">
        <v>1699</v>
      </c>
      <c r="Q24" s="20">
        <v>1</v>
      </c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1402</v>
      </c>
      <c r="C25" s="9" t="s">
        <v>1618</v>
      </c>
      <c r="D25" s="5"/>
      <c r="E25" s="5"/>
      <c r="F25" s="5"/>
      <c r="G25" s="4" t="s">
        <v>1619</v>
      </c>
      <c r="H25" s="4" t="s">
        <v>1620</v>
      </c>
      <c r="I25" s="5"/>
      <c r="J25" s="6" t="s">
        <v>1469</v>
      </c>
      <c r="K25" s="23" t="str">
        <f t="shared" si="6"/>
        <v>number</v>
      </c>
      <c r="L25" s="23" t="str">
        <f t="shared" si="7"/>
        <v/>
      </c>
      <c r="M25" s="20" t="s">
        <v>1693</v>
      </c>
      <c r="N25" s="20"/>
      <c r="O25" s="20"/>
      <c r="P25" s="20" t="s">
        <v>1699</v>
      </c>
      <c r="Q25" s="20">
        <v>1</v>
      </c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1402</v>
      </c>
      <c r="C26" s="9" t="s">
        <v>1621</v>
      </c>
      <c r="D26" s="5"/>
      <c r="E26" s="5"/>
      <c r="F26" s="5"/>
      <c r="G26" s="4" t="s">
        <v>1622</v>
      </c>
      <c r="H26" s="4" t="s">
        <v>1623</v>
      </c>
      <c r="I26" s="5"/>
      <c r="J26" s="6" t="s">
        <v>4</v>
      </c>
      <c r="K26" s="23" t="str">
        <f t="shared" si="6"/>
        <v>string</v>
      </c>
      <c r="L26" s="23" t="str">
        <f t="shared" si="7"/>
        <v/>
      </c>
      <c r="M26" s="20"/>
      <c r="N26" s="20"/>
      <c r="O26" s="20"/>
      <c r="P26" s="20" t="s">
        <v>1699</v>
      </c>
      <c r="Q26" s="20">
        <v>1</v>
      </c>
      <c r="R26" s="20"/>
      <c r="S26" s="2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>
      <c r="A27" s="41"/>
      <c r="B27" s="3" t="s">
        <v>1402</v>
      </c>
      <c r="C27" s="9" t="s">
        <v>1624</v>
      </c>
      <c r="D27" s="5"/>
      <c r="E27" s="5"/>
      <c r="F27" s="5"/>
      <c r="G27" s="4" t="s">
        <v>1625</v>
      </c>
      <c r="H27" s="4" t="s">
        <v>1626</v>
      </c>
      <c r="I27" s="5"/>
      <c r="J27" s="6" t="s">
        <v>4</v>
      </c>
      <c r="K27" s="23" t="str">
        <f t="shared" si="6"/>
        <v>string</v>
      </c>
      <c r="L27" s="23" t="str">
        <f t="shared" si="7"/>
        <v/>
      </c>
      <c r="M27" s="20"/>
      <c r="N27" s="20"/>
      <c r="O27" s="20"/>
      <c r="P27" s="20" t="s">
        <v>1699</v>
      </c>
      <c r="Q27" s="20">
        <v>1</v>
      </c>
      <c r="R27" s="20"/>
      <c r="S27" s="2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>
      <c r="A28" s="41"/>
      <c r="B28" s="3" t="s">
        <v>1402</v>
      </c>
      <c r="C28" s="9" t="s">
        <v>1627</v>
      </c>
      <c r="D28" s="5"/>
      <c r="E28" s="5"/>
      <c r="F28" s="5"/>
      <c r="G28" s="4" t="s">
        <v>1493</v>
      </c>
      <c r="H28" s="4" t="s">
        <v>1494</v>
      </c>
      <c r="I28" s="5"/>
      <c r="J28" s="6" t="s">
        <v>4</v>
      </c>
      <c r="K28" s="23" t="str">
        <f t="shared" si="6"/>
        <v>string</v>
      </c>
      <c r="L28" s="23" t="str">
        <f t="shared" si="7"/>
        <v/>
      </c>
      <c r="M28" s="20"/>
      <c r="N28" s="20"/>
      <c r="O28" s="20"/>
      <c r="P28" s="20" t="s">
        <v>1700</v>
      </c>
      <c r="Q28" s="20">
        <v>1</v>
      </c>
      <c r="R28" s="20"/>
      <c r="S28" s="2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>
      <c r="A29" s="41"/>
      <c r="B29" s="3" t="s">
        <v>1402</v>
      </c>
      <c r="C29" s="9" t="s">
        <v>1628</v>
      </c>
      <c r="D29" s="5"/>
      <c r="E29" s="5"/>
      <c r="F29" s="5"/>
      <c r="G29" s="4" t="s">
        <v>1574</v>
      </c>
      <c r="H29" s="4" t="s">
        <v>1575</v>
      </c>
      <c r="I29" s="5"/>
      <c r="J29" s="6" t="s">
        <v>4</v>
      </c>
      <c r="K29" s="23" t="str">
        <f t="shared" si="6"/>
        <v>string</v>
      </c>
      <c r="L29" s="23" t="str">
        <f t="shared" si="7"/>
        <v/>
      </c>
      <c r="M29" s="20"/>
      <c r="N29" s="20"/>
      <c r="O29" s="20"/>
      <c r="P29" s="20" t="s">
        <v>1700</v>
      </c>
      <c r="Q29" s="20">
        <v>1</v>
      </c>
      <c r="R29" s="20"/>
      <c r="S29" s="2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>
      <c r="A30" s="41"/>
      <c r="B30" s="3" t="s">
        <v>1402</v>
      </c>
      <c r="C30" s="9" t="s">
        <v>1629</v>
      </c>
      <c r="D30" s="5"/>
      <c r="E30" s="5"/>
      <c r="F30" s="5"/>
      <c r="G30" s="4" t="s">
        <v>1577</v>
      </c>
      <c r="H30" s="4" t="s">
        <v>1578</v>
      </c>
      <c r="I30" s="5"/>
      <c r="J30" s="6" t="s">
        <v>4</v>
      </c>
      <c r="K30" s="23" t="str">
        <f t="shared" si="6"/>
        <v>string</v>
      </c>
      <c r="L30" s="23" t="str">
        <f t="shared" si="7"/>
        <v/>
      </c>
      <c r="M30" s="20"/>
      <c r="N30" s="20"/>
      <c r="O30" s="20"/>
      <c r="P30" s="20" t="s">
        <v>1700</v>
      </c>
      <c r="Q30" s="20">
        <v>1</v>
      </c>
      <c r="R30" s="20"/>
      <c r="S30" s="2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>
      <c r="A31" s="41"/>
      <c r="B31" s="3" t="s">
        <v>1402</v>
      </c>
      <c r="C31" s="9" t="s">
        <v>1630</v>
      </c>
      <c r="D31" s="5"/>
      <c r="E31" s="5"/>
      <c r="F31" s="5"/>
      <c r="G31" s="4" t="s">
        <v>1580</v>
      </c>
      <c r="H31" s="4" t="s">
        <v>1581</v>
      </c>
      <c r="I31" s="5"/>
      <c r="J31" s="6" t="s">
        <v>4</v>
      </c>
      <c r="K31" s="23" t="str">
        <f t="shared" si="6"/>
        <v>string</v>
      </c>
      <c r="L31" s="23" t="str">
        <f t="shared" si="7"/>
        <v/>
      </c>
      <c r="M31" s="20"/>
      <c r="N31" s="20"/>
      <c r="O31" s="20"/>
      <c r="P31" s="20" t="s">
        <v>1700</v>
      </c>
      <c r="Q31" s="20">
        <v>1</v>
      </c>
      <c r="R31" s="20"/>
      <c r="S31" s="2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>
      <c r="A32" s="41"/>
      <c r="B32" s="3" t="s">
        <v>1402</v>
      </c>
      <c r="C32" s="9" t="s">
        <v>1631</v>
      </c>
      <c r="D32" s="5"/>
      <c r="E32" s="5"/>
      <c r="F32" s="5"/>
      <c r="G32" s="4" t="s">
        <v>1583</v>
      </c>
      <c r="H32" s="4" t="s">
        <v>1584</v>
      </c>
      <c r="I32" s="5"/>
      <c r="J32" s="6" t="s">
        <v>1469</v>
      </c>
      <c r="K32" s="23" t="str">
        <f t="shared" si="6"/>
        <v>number</v>
      </c>
      <c r="L32" s="23" t="str">
        <f t="shared" si="7"/>
        <v/>
      </c>
      <c r="M32" s="20"/>
      <c r="N32" s="20"/>
      <c r="O32" s="20"/>
      <c r="P32" s="20" t="s">
        <v>1700</v>
      </c>
      <c r="Q32" s="20">
        <v>1</v>
      </c>
      <c r="R32" s="20"/>
      <c r="S32" s="2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>
      <c r="A33" s="41"/>
      <c r="B33" s="3" t="s">
        <v>1402</v>
      </c>
      <c r="C33" s="9" t="s">
        <v>1632</v>
      </c>
      <c r="D33" s="5"/>
      <c r="E33" s="5"/>
      <c r="F33" s="5"/>
      <c r="G33" s="4" t="s">
        <v>1524</v>
      </c>
      <c r="H33" s="4" t="s">
        <v>1525</v>
      </c>
      <c r="I33" s="5"/>
      <c r="J33" s="6" t="s">
        <v>4</v>
      </c>
      <c r="K33" s="23" t="str">
        <f t="shared" si="6"/>
        <v>string</v>
      </c>
      <c r="L33" s="23" t="str">
        <f t="shared" si="7"/>
        <v/>
      </c>
      <c r="M33" s="20"/>
      <c r="N33" s="20"/>
      <c r="O33" s="20"/>
      <c r="P33" s="20" t="s">
        <v>1700</v>
      </c>
      <c r="Q33" s="20">
        <v>1</v>
      </c>
      <c r="R33" s="20"/>
      <c r="S33" s="2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>
      <c r="A34" s="41"/>
      <c r="B34" s="3" t="s">
        <v>1402</v>
      </c>
      <c r="C34" s="9" t="s">
        <v>1633</v>
      </c>
      <c r="D34" s="5"/>
      <c r="E34" s="5"/>
      <c r="F34" s="5"/>
      <c r="G34" s="4" t="s">
        <v>1526</v>
      </c>
      <c r="H34" s="4" t="s">
        <v>1527</v>
      </c>
      <c r="I34" s="5"/>
      <c r="J34" s="6" t="s">
        <v>4</v>
      </c>
      <c r="K34" s="23" t="str">
        <f t="shared" si="6"/>
        <v>string</v>
      </c>
      <c r="L34" s="23" t="str">
        <f t="shared" si="7"/>
        <v/>
      </c>
      <c r="M34" s="20"/>
      <c r="N34" s="20"/>
      <c r="O34" s="20"/>
      <c r="P34" s="20" t="s">
        <v>1700</v>
      </c>
      <c r="Q34" s="20">
        <v>1</v>
      </c>
      <c r="R34" s="20"/>
      <c r="S34" s="2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>
      <c r="A35" s="41"/>
      <c r="B35" s="3" t="s">
        <v>1402</v>
      </c>
      <c r="C35" s="9" t="s">
        <v>1634</v>
      </c>
      <c r="D35" s="5"/>
      <c r="E35" s="5"/>
      <c r="F35" s="5"/>
      <c r="G35" s="4" t="s">
        <v>1528</v>
      </c>
      <c r="H35" s="4" t="s">
        <v>1529</v>
      </c>
      <c r="I35" s="5"/>
      <c r="J35" s="6" t="s">
        <v>1469</v>
      </c>
      <c r="K35" s="23" t="str">
        <f t="shared" si="6"/>
        <v>number</v>
      </c>
      <c r="L35" s="23" t="str">
        <f t="shared" si="7"/>
        <v/>
      </c>
      <c r="M35" s="20" t="s">
        <v>1689</v>
      </c>
      <c r="N35" s="20"/>
      <c r="O35" s="20"/>
      <c r="P35" s="20" t="s">
        <v>1700</v>
      </c>
      <c r="Q35" s="20">
        <v>1</v>
      </c>
      <c r="R35" s="20"/>
      <c r="S35" s="2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>
      <c r="A36" s="41"/>
      <c r="B36" s="3" t="s">
        <v>1402</v>
      </c>
      <c r="C36" s="9" t="s">
        <v>1635</v>
      </c>
      <c r="D36" s="5"/>
      <c r="E36" s="5"/>
      <c r="F36" s="5"/>
      <c r="G36" s="4" t="s">
        <v>1530</v>
      </c>
      <c r="H36" s="4" t="s">
        <v>1531</v>
      </c>
      <c r="I36" s="5"/>
      <c r="J36" s="6" t="s">
        <v>1469</v>
      </c>
      <c r="K36" s="23" t="str">
        <f t="shared" si="6"/>
        <v>number</v>
      </c>
      <c r="L36" s="23" t="str">
        <f t="shared" si="7"/>
        <v/>
      </c>
      <c r="M36" s="20" t="s">
        <v>1689</v>
      </c>
      <c r="N36" s="20"/>
      <c r="O36" s="20"/>
      <c r="P36" s="20" t="s">
        <v>1700</v>
      </c>
      <c r="Q36" s="20">
        <v>1</v>
      </c>
      <c r="R36" s="20"/>
      <c r="S36" s="2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>
      <c r="A37" s="41"/>
      <c r="B37" s="3" t="s">
        <v>1402</v>
      </c>
      <c r="C37" s="9" t="s">
        <v>1636</v>
      </c>
      <c r="D37" s="5"/>
      <c r="E37" s="5"/>
      <c r="F37" s="5"/>
      <c r="G37" s="4" t="s">
        <v>1590</v>
      </c>
      <c r="H37" s="4" t="s">
        <v>1591</v>
      </c>
      <c r="I37" s="5"/>
      <c r="J37" s="6" t="s">
        <v>1469</v>
      </c>
      <c r="K37" s="23" t="str">
        <f t="shared" ref="K37:K52" si="8">_xlfn.IFS(J37="integer","integer",J37="number","number",J37="array","array",J37="boolean","boolean",TRUE,"string")</f>
        <v>number</v>
      </c>
      <c r="L37" s="23" t="str">
        <f t="shared" ref="L37:L52" si="9">_xlfn.IFS(J37="datetime","date-time",J37="duration","duration",TRUE,"")</f>
        <v/>
      </c>
      <c r="M37" s="20" t="s">
        <v>1689</v>
      </c>
      <c r="N37" s="20"/>
      <c r="O37" s="20"/>
      <c r="P37" s="20" t="s">
        <v>1700</v>
      </c>
      <c r="Q37" s="20">
        <v>1</v>
      </c>
      <c r="R37" s="20"/>
      <c r="S37" s="2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>
      <c r="A38" s="41"/>
      <c r="B38" s="3" t="s">
        <v>1402</v>
      </c>
      <c r="C38" s="9" t="s">
        <v>1637</v>
      </c>
      <c r="D38" s="5"/>
      <c r="E38" s="5"/>
      <c r="F38" s="5"/>
      <c r="G38" s="4" t="s">
        <v>1593</v>
      </c>
      <c r="H38" s="4" t="s">
        <v>1594</v>
      </c>
      <c r="I38" s="5"/>
      <c r="J38" s="6" t="s">
        <v>4</v>
      </c>
      <c r="K38" s="23" t="str">
        <f t="shared" si="8"/>
        <v>string</v>
      </c>
      <c r="L38" s="23" t="str">
        <f t="shared" si="9"/>
        <v/>
      </c>
      <c r="M38" s="20"/>
      <c r="N38" s="20"/>
      <c r="O38" s="20"/>
      <c r="P38" s="20" t="s">
        <v>1700</v>
      </c>
      <c r="Q38" s="20">
        <v>1</v>
      </c>
      <c r="R38" s="20"/>
      <c r="S38" s="2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>
      <c r="A39" s="41"/>
      <c r="B39" s="3" t="s">
        <v>1402</v>
      </c>
      <c r="C39" s="9" t="s">
        <v>1638</v>
      </c>
      <c r="D39" s="5"/>
      <c r="E39" s="5"/>
      <c r="F39" s="5"/>
      <c r="G39" s="4" t="s">
        <v>1532</v>
      </c>
      <c r="H39" s="4" t="s">
        <v>1533</v>
      </c>
      <c r="I39" s="5"/>
      <c r="J39" s="6" t="s">
        <v>1469</v>
      </c>
      <c r="K39" s="23" t="str">
        <f t="shared" si="8"/>
        <v>number</v>
      </c>
      <c r="L39" s="23" t="str">
        <f t="shared" si="9"/>
        <v/>
      </c>
      <c r="M39" s="20" t="s">
        <v>1694</v>
      </c>
      <c r="N39" s="20"/>
      <c r="O39" s="20"/>
      <c r="P39" s="20" t="s">
        <v>1700</v>
      </c>
      <c r="Q39" s="20">
        <v>1</v>
      </c>
      <c r="R39" s="20"/>
      <c r="S39" s="2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>
      <c r="A40" s="41"/>
      <c r="B40" s="3" t="s">
        <v>1402</v>
      </c>
      <c r="C40" s="9" t="s">
        <v>1639</v>
      </c>
      <c r="D40" s="5"/>
      <c r="E40" s="5"/>
      <c r="F40" s="5"/>
      <c r="G40" s="4" t="s">
        <v>1534</v>
      </c>
      <c r="H40" s="4" t="s">
        <v>1535</v>
      </c>
      <c r="I40" s="5"/>
      <c r="J40" s="6" t="s">
        <v>1469</v>
      </c>
      <c r="K40" s="23" t="str">
        <f t="shared" si="8"/>
        <v>number</v>
      </c>
      <c r="L40" s="23" t="str">
        <f t="shared" si="9"/>
        <v/>
      </c>
      <c r="M40" s="20" t="s">
        <v>1695</v>
      </c>
      <c r="N40" s="20"/>
      <c r="O40" s="20"/>
      <c r="P40" s="20" t="s">
        <v>1700</v>
      </c>
      <c r="Q40" s="20">
        <v>1</v>
      </c>
      <c r="R40" s="20"/>
      <c r="S40" s="2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>
      <c r="A41" s="41"/>
      <c r="B41" s="3" t="s">
        <v>1402</v>
      </c>
      <c r="C41" s="9" t="s">
        <v>1640</v>
      </c>
      <c r="D41" s="5"/>
      <c r="E41" s="5"/>
      <c r="F41" s="5"/>
      <c r="G41" s="4" t="s">
        <v>1598</v>
      </c>
      <c r="H41" s="4" t="s">
        <v>1599</v>
      </c>
      <c r="I41" s="5"/>
      <c r="J41" s="6" t="s">
        <v>4</v>
      </c>
      <c r="K41" s="23" t="str">
        <f t="shared" si="8"/>
        <v>string</v>
      </c>
      <c r="L41" s="23" t="str">
        <f t="shared" si="9"/>
        <v/>
      </c>
      <c r="M41" s="20"/>
      <c r="N41" s="20"/>
      <c r="O41" s="20"/>
      <c r="P41" s="20" t="s">
        <v>1700</v>
      </c>
      <c r="Q41" s="20">
        <v>1</v>
      </c>
      <c r="R41" s="20"/>
      <c r="S41" s="2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>
      <c r="A42" s="41"/>
      <c r="B42" s="3" t="s">
        <v>1402</v>
      </c>
      <c r="C42" s="9" t="s">
        <v>1641</v>
      </c>
      <c r="D42" s="5"/>
      <c r="E42" s="5"/>
      <c r="F42" s="5"/>
      <c r="G42" s="4" t="s">
        <v>1601</v>
      </c>
      <c r="H42" s="4" t="s">
        <v>1602</v>
      </c>
      <c r="I42" s="5"/>
      <c r="J42" s="6" t="s">
        <v>1469</v>
      </c>
      <c r="K42" s="23" t="str">
        <f t="shared" si="8"/>
        <v>number</v>
      </c>
      <c r="L42" s="23" t="str">
        <f t="shared" si="9"/>
        <v/>
      </c>
      <c r="M42" s="20"/>
      <c r="N42" s="20"/>
      <c r="O42" s="20"/>
      <c r="P42" s="20" t="s">
        <v>1700</v>
      </c>
      <c r="Q42" s="20">
        <v>1</v>
      </c>
      <c r="R42" s="20"/>
      <c r="S42" s="2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>
      <c r="A43" s="41"/>
      <c r="B43" s="3" t="s">
        <v>1402</v>
      </c>
      <c r="C43" s="9" t="s">
        <v>1642</v>
      </c>
      <c r="D43" s="5"/>
      <c r="E43" s="5"/>
      <c r="F43" s="5"/>
      <c r="G43" s="4" t="s">
        <v>1604</v>
      </c>
      <c r="H43" s="4" t="s">
        <v>1605</v>
      </c>
      <c r="I43" s="5"/>
      <c r="J43" s="6" t="s">
        <v>4</v>
      </c>
      <c r="K43" s="23" t="str">
        <f t="shared" si="8"/>
        <v>string</v>
      </c>
      <c r="L43" s="23" t="str">
        <f t="shared" si="9"/>
        <v/>
      </c>
      <c r="M43" s="20"/>
      <c r="N43" s="20"/>
      <c r="O43" s="20"/>
      <c r="P43" s="20" t="s">
        <v>1700</v>
      </c>
      <c r="Q43" s="20">
        <v>1</v>
      </c>
      <c r="R43" s="20"/>
      <c r="S43" s="2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>
      <c r="A44" s="41"/>
      <c r="B44" s="3" t="s">
        <v>1402</v>
      </c>
      <c r="C44" s="9" t="s">
        <v>1643</v>
      </c>
      <c r="D44" s="5"/>
      <c r="E44" s="5"/>
      <c r="F44" s="5"/>
      <c r="G44" s="4" t="s">
        <v>1607</v>
      </c>
      <c r="H44" s="4" t="s">
        <v>1608</v>
      </c>
      <c r="I44" s="5"/>
      <c r="J44" s="6" t="s">
        <v>4</v>
      </c>
      <c r="K44" s="23" t="str">
        <f t="shared" si="8"/>
        <v>string</v>
      </c>
      <c r="L44" s="23" t="str">
        <f t="shared" si="9"/>
        <v/>
      </c>
      <c r="M44" s="20"/>
      <c r="N44" s="20"/>
      <c r="O44" s="20"/>
      <c r="P44" s="20" t="s">
        <v>1700</v>
      </c>
      <c r="Q44" s="20">
        <v>1</v>
      </c>
      <c r="R44" s="20"/>
      <c r="S44" s="2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>
      <c r="A45" s="41"/>
      <c r="B45" s="3" t="s">
        <v>1402</v>
      </c>
      <c r="C45" s="9" t="s">
        <v>1644</v>
      </c>
      <c r="D45" s="5"/>
      <c r="E45" s="5"/>
      <c r="F45" s="5"/>
      <c r="G45" s="4" t="s">
        <v>1610</v>
      </c>
      <c r="H45" s="4" t="s">
        <v>1611</v>
      </c>
      <c r="I45" s="5"/>
      <c r="J45" s="6" t="s">
        <v>4</v>
      </c>
      <c r="K45" s="23" t="str">
        <f t="shared" si="8"/>
        <v>string</v>
      </c>
      <c r="L45" s="23" t="str">
        <f t="shared" si="9"/>
        <v/>
      </c>
      <c r="M45" s="20"/>
      <c r="N45" s="20"/>
      <c r="O45" s="20"/>
      <c r="P45" s="20" t="s">
        <v>1700</v>
      </c>
      <c r="Q45" s="20">
        <v>1</v>
      </c>
      <c r="R45" s="20"/>
      <c r="S45" s="2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>
      <c r="A46" s="41"/>
      <c r="B46" s="3" t="s">
        <v>1402</v>
      </c>
      <c r="C46" s="9" t="s">
        <v>1645</v>
      </c>
      <c r="D46" s="5"/>
      <c r="E46" s="5"/>
      <c r="F46" s="5"/>
      <c r="G46" s="4" t="s">
        <v>1536</v>
      </c>
      <c r="H46" s="4" t="s">
        <v>1537</v>
      </c>
      <c r="I46" s="5"/>
      <c r="J46" s="6" t="s">
        <v>4</v>
      </c>
      <c r="K46" s="23" t="str">
        <f t="shared" si="8"/>
        <v>string</v>
      </c>
      <c r="L46" s="23" t="str">
        <f t="shared" si="9"/>
        <v/>
      </c>
      <c r="M46" s="20"/>
      <c r="N46" s="20"/>
      <c r="O46" s="20"/>
      <c r="P46" s="20" t="s">
        <v>1700</v>
      </c>
      <c r="Q46" s="20">
        <v>1</v>
      </c>
      <c r="R46" s="20"/>
      <c r="S46" s="2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>
      <c r="A47" s="41"/>
      <c r="B47" s="3" t="s">
        <v>1402</v>
      </c>
      <c r="C47" s="9" t="s">
        <v>1646</v>
      </c>
      <c r="D47" s="5"/>
      <c r="E47" s="5"/>
      <c r="F47" s="5"/>
      <c r="G47" s="4" t="s">
        <v>1614</v>
      </c>
      <c r="H47" s="4" t="s">
        <v>1615</v>
      </c>
      <c r="I47" s="5"/>
      <c r="J47" s="6" t="s">
        <v>1469</v>
      </c>
      <c r="K47" s="23" t="str">
        <f t="shared" si="8"/>
        <v>number</v>
      </c>
      <c r="L47" s="23" t="str">
        <f t="shared" si="9"/>
        <v/>
      </c>
      <c r="M47" s="20" t="s">
        <v>1696</v>
      </c>
      <c r="N47" s="20"/>
      <c r="O47" s="20"/>
      <c r="P47" s="20" t="s">
        <v>1700</v>
      </c>
      <c r="Q47" s="20">
        <v>1</v>
      </c>
      <c r="R47" s="20"/>
      <c r="S47" s="2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>
      <c r="A48" s="41"/>
      <c r="B48" s="3" t="s">
        <v>1402</v>
      </c>
      <c r="C48" s="9" t="s">
        <v>1647</v>
      </c>
      <c r="D48" s="5"/>
      <c r="E48" s="5"/>
      <c r="F48" s="5"/>
      <c r="G48" s="4" t="s">
        <v>1538</v>
      </c>
      <c r="H48" s="4" t="s">
        <v>1539</v>
      </c>
      <c r="I48" s="5"/>
      <c r="J48" s="6" t="s">
        <v>1469</v>
      </c>
      <c r="K48" s="23" t="str">
        <f t="shared" si="8"/>
        <v>number</v>
      </c>
      <c r="L48" s="23" t="str">
        <f t="shared" si="9"/>
        <v/>
      </c>
      <c r="M48" s="20" t="s">
        <v>1697</v>
      </c>
      <c r="N48" s="20"/>
      <c r="O48" s="20"/>
      <c r="P48" s="20" t="s">
        <v>1700</v>
      </c>
      <c r="Q48" s="20">
        <v>1</v>
      </c>
      <c r="R48" s="20"/>
      <c r="S48" s="2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>
      <c r="A49" s="41"/>
      <c r="B49" s="3" t="s">
        <v>1402</v>
      </c>
      <c r="C49" s="9" t="s">
        <v>1648</v>
      </c>
      <c r="D49" s="5"/>
      <c r="E49" s="5"/>
      <c r="F49" s="5"/>
      <c r="G49" s="4" t="s">
        <v>1540</v>
      </c>
      <c r="H49" s="4" t="s">
        <v>1541</v>
      </c>
      <c r="I49" s="5"/>
      <c r="J49" s="6" t="s">
        <v>1469</v>
      </c>
      <c r="K49" s="23" t="str">
        <f t="shared" si="8"/>
        <v>number</v>
      </c>
      <c r="L49" s="23" t="str">
        <f t="shared" si="9"/>
        <v/>
      </c>
      <c r="M49" s="20" t="s">
        <v>1697</v>
      </c>
      <c r="N49" s="20"/>
      <c r="O49" s="20"/>
      <c r="P49" s="20" t="s">
        <v>1700</v>
      </c>
      <c r="Q49" s="20">
        <v>1</v>
      </c>
      <c r="R49" s="20"/>
      <c r="S49" s="2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>
      <c r="A50" s="41"/>
      <c r="B50" s="3" t="s">
        <v>1402</v>
      </c>
      <c r="C50" s="9" t="s">
        <v>1649</v>
      </c>
      <c r="D50" s="5"/>
      <c r="E50" s="5"/>
      <c r="F50" s="5"/>
      <c r="G50" s="4" t="s">
        <v>1619</v>
      </c>
      <c r="H50" s="4" t="s">
        <v>1620</v>
      </c>
      <c r="I50" s="5"/>
      <c r="J50" s="6" t="s">
        <v>1469</v>
      </c>
      <c r="K50" s="23" t="str">
        <f t="shared" si="8"/>
        <v>number</v>
      </c>
      <c r="L50" s="23" t="str">
        <f t="shared" si="9"/>
        <v/>
      </c>
      <c r="M50" s="20" t="s">
        <v>1697</v>
      </c>
      <c r="N50" s="20"/>
      <c r="O50" s="20"/>
      <c r="P50" s="20" t="s">
        <v>1700</v>
      </c>
      <c r="Q50" s="20">
        <v>1</v>
      </c>
      <c r="R50" s="20"/>
      <c r="S50" s="2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>
      <c r="A51" s="41"/>
      <c r="B51" s="3" t="s">
        <v>1402</v>
      </c>
      <c r="C51" s="9" t="s">
        <v>1650</v>
      </c>
      <c r="D51" s="5"/>
      <c r="E51" s="5"/>
      <c r="F51" s="5"/>
      <c r="G51" s="4" t="s">
        <v>1622</v>
      </c>
      <c r="H51" s="4" t="s">
        <v>1623</v>
      </c>
      <c r="I51" s="5"/>
      <c r="J51" s="6" t="s">
        <v>4</v>
      </c>
      <c r="K51" s="23" t="str">
        <f t="shared" si="8"/>
        <v>string</v>
      </c>
      <c r="L51" s="23" t="str">
        <f t="shared" si="9"/>
        <v/>
      </c>
      <c r="M51" s="20"/>
      <c r="N51" s="20"/>
      <c r="O51" s="20"/>
      <c r="P51" s="20" t="s">
        <v>1700</v>
      </c>
      <c r="Q51" s="20">
        <v>1</v>
      </c>
      <c r="R51" s="20"/>
      <c r="S51" s="2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>
      <c r="A52" s="41"/>
      <c r="B52" s="3" t="s">
        <v>1402</v>
      </c>
      <c r="C52" s="9" t="s">
        <v>1651</v>
      </c>
      <c r="D52" s="5"/>
      <c r="E52" s="5"/>
      <c r="F52" s="5"/>
      <c r="G52" s="4" t="s">
        <v>1625</v>
      </c>
      <c r="H52" s="4" t="s">
        <v>1626</v>
      </c>
      <c r="I52" s="5"/>
      <c r="J52" s="6" t="s">
        <v>4</v>
      </c>
      <c r="K52" s="23" t="str">
        <f t="shared" si="8"/>
        <v>string</v>
      </c>
      <c r="L52" s="23" t="str">
        <f t="shared" si="9"/>
        <v/>
      </c>
      <c r="M52" s="20"/>
      <c r="N52" s="20"/>
      <c r="O52" s="20"/>
      <c r="P52" s="20" t="s">
        <v>1700</v>
      </c>
      <c r="Q52" s="20">
        <v>1</v>
      </c>
      <c r="R52" s="20"/>
      <c r="S52" s="2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>
      <c r="A53" s="41"/>
      <c r="B53" s="3" t="s">
        <v>1402</v>
      </c>
      <c r="C53" s="9" t="s">
        <v>1652</v>
      </c>
      <c r="D53" s="5"/>
      <c r="E53" s="5"/>
      <c r="F53" s="5"/>
      <c r="G53" s="4" t="s">
        <v>1493</v>
      </c>
      <c r="H53" s="4" t="s">
        <v>1494</v>
      </c>
      <c r="I53" s="5"/>
      <c r="J53" s="6" t="s">
        <v>4</v>
      </c>
      <c r="K53" s="23" t="str">
        <f t="shared" ref="K53:K77" si="10">_xlfn.IFS(J53="integer","integer",J53="number","number",J53="array","array",J53="boolean","boolean",TRUE,"string")</f>
        <v>string</v>
      </c>
      <c r="L53" s="23" t="str">
        <f t="shared" ref="L53:L77" si="11">_xlfn.IFS(J53="datetime","date-time",J53="duration","duration",TRUE,"")</f>
        <v/>
      </c>
      <c r="M53" s="20"/>
      <c r="N53" s="20"/>
      <c r="O53" s="20"/>
      <c r="P53" s="20" t="s">
        <v>1701</v>
      </c>
      <c r="Q53" s="20">
        <v>1</v>
      </c>
      <c r="R53" s="20"/>
      <c r="S53" s="2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>
      <c r="A54" s="41"/>
      <c r="B54" s="3" t="s">
        <v>1402</v>
      </c>
      <c r="C54" s="9" t="s">
        <v>1653</v>
      </c>
      <c r="D54" s="5"/>
      <c r="E54" s="5"/>
      <c r="F54" s="5"/>
      <c r="G54" s="4" t="s">
        <v>1580</v>
      </c>
      <c r="H54" s="4" t="s">
        <v>1581</v>
      </c>
      <c r="I54" s="5"/>
      <c r="J54" s="6" t="s">
        <v>4</v>
      </c>
      <c r="K54" s="23" t="str">
        <f t="shared" si="10"/>
        <v>string</v>
      </c>
      <c r="L54" s="23" t="str">
        <f t="shared" si="11"/>
        <v/>
      </c>
      <c r="M54" s="20"/>
      <c r="N54" s="20"/>
      <c r="O54" s="20"/>
      <c r="P54" s="20" t="s">
        <v>1701</v>
      </c>
      <c r="Q54" s="20">
        <v>1</v>
      </c>
      <c r="R54" s="20"/>
      <c r="S54" s="2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>
      <c r="A55" s="41"/>
      <c r="B55" s="3" t="s">
        <v>1402</v>
      </c>
      <c r="C55" s="9" t="s">
        <v>1654</v>
      </c>
      <c r="D55" s="5"/>
      <c r="E55" s="5"/>
      <c r="F55" s="5"/>
      <c r="G55" s="4" t="s">
        <v>1524</v>
      </c>
      <c r="H55" s="4" t="s">
        <v>1525</v>
      </c>
      <c r="I55" s="5"/>
      <c r="J55" s="6" t="s">
        <v>4</v>
      </c>
      <c r="K55" s="23" t="str">
        <f t="shared" si="10"/>
        <v>string</v>
      </c>
      <c r="L55" s="23" t="str">
        <f t="shared" si="11"/>
        <v/>
      </c>
      <c r="M55" s="20"/>
      <c r="N55" s="20"/>
      <c r="O55" s="20"/>
      <c r="P55" s="20" t="s">
        <v>1701</v>
      </c>
      <c r="Q55" s="20">
        <v>1</v>
      </c>
      <c r="R55" s="20"/>
      <c r="S55" s="2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spans="1:30">
      <c r="A56" s="41"/>
      <c r="B56" s="3" t="s">
        <v>1402</v>
      </c>
      <c r="C56" s="9" t="s">
        <v>1655</v>
      </c>
      <c r="D56" s="5"/>
      <c r="E56" s="5"/>
      <c r="F56" s="5"/>
      <c r="G56" s="4" t="s">
        <v>1532</v>
      </c>
      <c r="H56" s="4" t="s">
        <v>1533</v>
      </c>
      <c r="I56" s="5"/>
      <c r="J56" s="6" t="s">
        <v>1469</v>
      </c>
      <c r="K56" s="23" t="str">
        <f t="shared" si="10"/>
        <v>number</v>
      </c>
      <c r="L56" s="23" t="str">
        <f t="shared" si="11"/>
        <v/>
      </c>
      <c r="M56" s="20" t="s">
        <v>1559</v>
      </c>
      <c r="N56" s="20"/>
      <c r="O56" s="20"/>
      <c r="P56" s="20" t="s">
        <v>1701</v>
      </c>
      <c r="Q56" s="20">
        <v>1</v>
      </c>
      <c r="R56" s="20"/>
      <c r="S56" s="2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spans="1:30">
      <c r="A57" s="41"/>
      <c r="B57" s="3" t="s">
        <v>1402</v>
      </c>
      <c r="C57" s="9" t="s">
        <v>1656</v>
      </c>
      <c r="D57" s="5"/>
      <c r="E57" s="5"/>
      <c r="F57" s="5"/>
      <c r="G57" s="4" t="s">
        <v>1534</v>
      </c>
      <c r="H57" s="4" t="s">
        <v>1535</v>
      </c>
      <c r="I57" s="5"/>
      <c r="J57" s="6" t="s">
        <v>1469</v>
      </c>
      <c r="K57" s="23" t="str">
        <f t="shared" si="10"/>
        <v>number</v>
      </c>
      <c r="L57" s="23" t="str">
        <f t="shared" si="11"/>
        <v/>
      </c>
      <c r="M57" s="20" t="s">
        <v>1521</v>
      </c>
      <c r="N57" s="20"/>
      <c r="O57" s="20"/>
      <c r="P57" s="20" t="s">
        <v>1701</v>
      </c>
      <c r="Q57" s="20">
        <v>1</v>
      </c>
      <c r="R57" s="20"/>
      <c r="S57" s="2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spans="1:30">
      <c r="A58" s="41"/>
      <c r="B58" s="3" t="s">
        <v>1402</v>
      </c>
      <c r="C58" s="9" t="s">
        <v>1657</v>
      </c>
      <c r="D58" s="5"/>
      <c r="E58" s="5"/>
      <c r="F58" s="5"/>
      <c r="G58" s="4" t="s">
        <v>1604</v>
      </c>
      <c r="H58" s="4" t="s">
        <v>1605</v>
      </c>
      <c r="I58" s="5"/>
      <c r="J58" s="6" t="s">
        <v>4</v>
      </c>
      <c r="K58" s="23" t="str">
        <f t="shared" si="10"/>
        <v>string</v>
      </c>
      <c r="L58" s="23" t="str">
        <f t="shared" si="11"/>
        <v/>
      </c>
      <c r="M58" s="20"/>
      <c r="N58" s="20"/>
      <c r="O58" s="20"/>
      <c r="P58" s="20" t="s">
        <v>1701</v>
      </c>
      <c r="Q58" s="20">
        <v>1</v>
      </c>
      <c r="R58" s="20"/>
      <c r="S58" s="2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spans="1:30">
      <c r="A59" s="41"/>
      <c r="B59" s="3" t="s">
        <v>1402</v>
      </c>
      <c r="C59" s="9" t="s">
        <v>1658</v>
      </c>
      <c r="D59" s="5"/>
      <c r="E59" s="5"/>
      <c r="F59" s="5"/>
      <c r="G59" s="4" t="s">
        <v>1607</v>
      </c>
      <c r="H59" s="4" t="s">
        <v>1608</v>
      </c>
      <c r="I59" s="5"/>
      <c r="J59" s="6" t="s">
        <v>1659</v>
      </c>
      <c r="K59" s="23" t="str">
        <f t="shared" si="10"/>
        <v>string</v>
      </c>
      <c r="L59" s="23" t="str">
        <f t="shared" si="11"/>
        <v>date-time</v>
      </c>
      <c r="M59" s="20"/>
      <c r="N59" s="20"/>
      <c r="O59" s="20"/>
      <c r="P59" s="20" t="s">
        <v>1701</v>
      </c>
      <c r="Q59" s="20">
        <v>1</v>
      </c>
      <c r="R59" s="20"/>
      <c r="S59" s="2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spans="1:30">
      <c r="A60" s="41"/>
      <c r="B60" s="3" t="s">
        <v>1402</v>
      </c>
      <c r="C60" s="9" t="s">
        <v>1660</v>
      </c>
      <c r="D60" s="5"/>
      <c r="E60" s="5"/>
      <c r="F60" s="5"/>
      <c r="G60" s="4" t="s">
        <v>1610</v>
      </c>
      <c r="H60" s="4" t="s">
        <v>1611</v>
      </c>
      <c r="I60" s="5"/>
      <c r="J60" s="6" t="s">
        <v>1659</v>
      </c>
      <c r="K60" s="23" t="str">
        <f t="shared" si="10"/>
        <v>string</v>
      </c>
      <c r="L60" s="23" t="str">
        <f t="shared" si="11"/>
        <v>date-time</v>
      </c>
      <c r="M60" s="20"/>
      <c r="N60" s="20"/>
      <c r="O60" s="20"/>
      <c r="P60" s="20" t="s">
        <v>1701</v>
      </c>
      <c r="Q60" s="20">
        <v>1</v>
      </c>
      <c r="R60" s="20"/>
      <c r="S60" s="2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spans="1:30">
      <c r="A61" s="41"/>
      <c r="B61" s="3" t="s">
        <v>1402</v>
      </c>
      <c r="C61" s="9" t="s">
        <v>1661</v>
      </c>
      <c r="D61" s="5"/>
      <c r="E61" s="5"/>
      <c r="F61" s="5"/>
      <c r="G61" s="4" t="s">
        <v>1536</v>
      </c>
      <c r="H61" s="4" t="s">
        <v>1537</v>
      </c>
      <c r="I61" s="5"/>
      <c r="J61" s="6" t="s">
        <v>4</v>
      </c>
      <c r="K61" s="23" t="str">
        <f t="shared" si="10"/>
        <v>string</v>
      </c>
      <c r="L61" s="23" t="str">
        <f t="shared" si="11"/>
        <v/>
      </c>
      <c r="M61" s="20"/>
      <c r="N61" s="20"/>
      <c r="O61" s="20"/>
      <c r="P61" s="20" t="s">
        <v>1701</v>
      </c>
      <c r="Q61" s="20">
        <v>1</v>
      </c>
      <c r="R61" s="20"/>
      <c r="S61" s="2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spans="1:30">
      <c r="A62" s="41"/>
      <c r="B62" s="3" t="s">
        <v>1402</v>
      </c>
      <c r="C62" s="9" t="s">
        <v>1662</v>
      </c>
      <c r="D62" s="5"/>
      <c r="E62" s="5"/>
      <c r="F62" s="5"/>
      <c r="G62" s="4" t="s">
        <v>1614</v>
      </c>
      <c r="H62" s="4" t="s">
        <v>1615</v>
      </c>
      <c r="I62" s="5"/>
      <c r="J62" s="6" t="s">
        <v>1469</v>
      </c>
      <c r="K62" s="23" t="str">
        <f t="shared" ref="K62:K70" si="12">_xlfn.IFS(J62="integer","integer",J62="number","number",J62="array","array",J62="boolean","boolean",TRUE,"string")</f>
        <v>number</v>
      </c>
      <c r="L62" s="23" t="str">
        <f t="shared" ref="L62:L70" si="13">_xlfn.IFS(J62="datetime","date-time",J62="duration","duration",TRUE,"")</f>
        <v/>
      </c>
      <c r="M62" s="20" t="s">
        <v>1698</v>
      </c>
      <c r="N62" s="20"/>
      <c r="O62" s="20"/>
      <c r="P62" s="20" t="s">
        <v>1701</v>
      </c>
      <c r="Q62" s="20">
        <v>1</v>
      </c>
      <c r="R62" s="20"/>
      <c r="S62" s="2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spans="1:30">
      <c r="A63" s="41"/>
      <c r="B63" s="3" t="s">
        <v>1402</v>
      </c>
      <c r="C63" s="9" t="s">
        <v>1663</v>
      </c>
      <c r="D63" s="5"/>
      <c r="E63" s="5"/>
      <c r="F63" s="5"/>
      <c r="G63" s="4" t="s">
        <v>1538</v>
      </c>
      <c r="H63" s="4" t="s">
        <v>1539</v>
      </c>
      <c r="I63" s="5"/>
      <c r="J63" s="6" t="s">
        <v>1469</v>
      </c>
      <c r="K63" s="23" t="str">
        <f t="shared" si="12"/>
        <v>number</v>
      </c>
      <c r="L63" s="23" t="str">
        <f t="shared" si="13"/>
        <v/>
      </c>
      <c r="M63" s="20" t="s">
        <v>1495</v>
      </c>
      <c r="N63" s="20"/>
      <c r="O63" s="20"/>
      <c r="P63" s="20" t="s">
        <v>1701</v>
      </c>
      <c r="Q63" s="20">
        <v>1</v>
      </c>
      <c r="R63" s="20"/>
      <c r="S63" s="2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spans="1:30">
      <c r="A64" s="41"/>
      <c r="B64" s="3" t="s">
        <v>1402</v>
      </c>
      <c r="C64" s="9" t="s">
        <v>1664</v>
      </c>
      <c r="D64" s="5"/>
      <c r="E64" s="5"/>
      <c r="F64" s="5"/>
      <c r="G64" s="4" t="s">
        <v>1540</v>
      </c>
      <c r="H64" s="4" t="s">
        <v>1541</v>
      </c>
      <c r="I64" s="5"/>
      <c r="J64" s="6" t="s">
        <v>1469</v>
      </c>
      <c r="K64" s="23" t="str">
        <f t="shared" si="12"/>
        <v>number</v>
      </c>
      <c r="L64" s="23" t="str">
        <f t="shared" si="13"/>
        <v/>
      </c>
      <c r="M64" s="20" t="s">
        <v>1495</v>
      </c>
      <c r="N64" s="20"/>
      <c r="O64" s="20"/>
      <c r="P64" s="20" t="s">
        <v>1701</v>
      </c>
      <c r="Q64" s="20">
        <v>1</v>
      </c>
      <c r="R64" s="20"/>
      <c r="S64" s="2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spans="1:30">
      <c r="A65" s="41"/>
      <c r="B65" s="3" t="s">
        <v>1402</v>
      </c>
      <c r="C65" s="9" t="s">
        <v>1665</v>
      </c>
      <c r="D65" s="5"/>
      <c r="E65" s="5"/>
      <c r="F65" s="5"/>
      <c r="G65" s="4" t="s">
        <v>1619</v>
      </c>
      <c r="H65" s="4" t="s">
        <v>1620</v>
      </c>
      <c r="I65" s="5"/>
      <c r="J65" s="6" t="s">
        <v>1469</v>
      </c>
      <c r="K65" s="23" t="str">
        <f t="shared" si="12"/>
        <v>number</v>
      </c>
      <c r="L65" s="23" t="str">
        <f t="shared" si="13"/>
        <v/>
      </c>
      <c r="M65" s="20" t="s">
        <v>1495</v>
      </c>
      <c r="N65" s="20"/>
      <c r="O65" s="20"/>
      <c r="P65" s="20" t="s">
        <v>1701</v>
      </c>
      <c r="Q65" s="20">
        <v>1</v>
      </c>
      <c r="R65" s="20"/>
      <c r="S65" s="2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spans="1:30">
      <c r="A66" s="41"/>
      <c r="B66" s="3" t="s">
        <v>1402</v>
      </c>
      <c r="C66" s="9" t="s">
        <v>1666</v>
      </c>
      <c r="D66" s="5"/>
      <c r="E66" s="5"/>
      <c r="F66" s="5"/>
      <c r="G66" s="4" t="s">
        <v>1667</v>
      </c>
      <c r="H66" s="4" t="s">
        <v>1668</v>
      </c>
      <c r="I66" s="5"/>
      <c r="J66" s="6" t="s">
        <v>4</v>
      </c>
      <c r="K66" s="23" t="str">
        <f t="shared" si="12"/>
        <v>string</v>
      </c>
      <c r="L66" s="23" t="str">
        <f t="shared" si="13"/>
        <v/>
      </c>
      <c r="M66" s="20"/>
      <c r="N66" s="20"/>
      <c r="O66" s="20"/>
      <c r="P66" s="20" t="s">
        <v>1701</v>
      </c>
      <c r="Q66" s="20">
        <v>1</v>
      </c>
      <c r="R66" s="20"/>
      <c r="S66" s="2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spans="1:30">
      <c r="A67" s="41"/>
      <c r="B67" s="3" t="s">
        <v>1402</v>
      </c>
      <c r="C67" s="9" t="s">
        <v>1669</v>
      </c>
      <c r="D67" s="5"/>
      <c r="E67" s="5"/>
      <c r="F67" s="5"/>
      <c r="G67" s="4" t="s">
        <v>1542</v>
      </c>
      <c r="H67" s="4" t="s">
        <v>1543</v>
      </c>
      <c r="I67" s="5"/>
      <c r="J67" s="6" t="s">
        <v>4</v>
      </c>
      <c r="K67" s="23" t="str">
        <f t="shared" si="12"/>
        <v>string</v>
      </c>
      <c r="L67" s="23" t="str">
        <f t="shared" si="13"/>
        <v/>
      </c>
      <c r="M67" s="20"/>
      <c r="N67" s="20"/>
      <c r="O67" s="20"/>
      <c r="P67" s="20" t="s">
        <v>1701</v>
      </c>
      <c r="Q67" s="20">
        <v>1</v>
      </c>
      <c r="R67" s="20"/>
      <c r="S67" s="2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 spans="1:30">
      <c r="A68" s="41"/>
      <c r="B68" s="3" t="s">
        <v>1402</v>
      </c>
      <c r="C68" s="9" t="s">
        <v>1670</v>
      </c>
      <c r="D68" s="5"/>
      <c r="E68" s="5"/>
      <c r="F68" s="5"/>
      <c r="G68" s="4" t="s">
        <v>1671</v>
      </c>
      <c r="H68" s="4" t="s">
        <v>1672</v>
      </c>
      <c r="I68" s="5"/>
      <c r="J68" s="6" t="s">
        <v>1469</v>
      </c>
      <c r="K68" s="23" t="str">
        <f t="shared" si="12"/>
        <v>number</v>
      </c>
      <c r="L68" s="23" t="str">
        <f t="shared" si="13"/>
        <v/>
      </c>
      <c r="M68" s="20" t="s">
        <v>1495</v>
      </c>
      <c r="N68" s="20"/>
      <c r="O68" s="20"/>
      <c r="P68" s="20" t="s">
        <v>1701</v>
      </c>
      <c r="Q68" s="20">
        <v>1</v>
      </c>
      <c r="R68" s="20"/>
      <c r="S68" s="2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spans="1:30">
      <c r="A69" s="41"/>
      <c r="B69" s="3" t="s">
        <v>1402</v>
      </c>
      <c r="C69" s="9" t="s">
        <v>1673</v>
      </c>
      <c r="D69" s="5"/>
      <c r="E69" s="5"/>
      <c r="F69" s="5"/>
      <c r="G69" s="4" t="s">
        <v>1674</v>
      </c>
      <c r="H69" s="4" t="s">
        <v>1675</v>
      </c>
      <c r="I69" s="5"/>
      <c r="J69" s="6" t="s">
        <v>1469</v>
      </c>
      <c r="K69" s="23" t="str">
        <f t="shared" si="12"/>
        <v>number</v>
      </c>
      <c r="L69" s="23" t="str">
        <f t="shared" si="13"/>
        <v/>
      </c>
      <c r="M69" s="20" t="s">
        <v>1688</v>
      </c>
      <c r="N69" s="20"/>
      <c r="O69" s="20"/>
      <c r="P69" s="20" t="s">
        <v>1701</v>
      </c>
      <c r="Q69" s="20">
        <v>1</v>
      </c>
      <c r="R69" s="20"/>
      <c r="S69" s="2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spans="1:30">
      <c r="A70" s="41"/>
      <c r="B70" s="3" t="s">
        <v>1402</v>
      </c>
      <c r="C70" s="9" t="s">
        <v>1676</v>
      </c>
      <c r="D70" s="5"/>
      <c r="E70" s="5"/>
      <c r="F70" s="5"/>
      <c r="G70" s="4" t="s">
        <v>1677</v>
      </c>
      <c r="H70" s="4" t="s">
        <v>1678</v>
      </c>
      <c r="I70" s="5"/>
      <c r="J70" s="6" t="s">
        <v>1469</v>
      </c>
      <c r="K70" s="23" t="str">
        <f t="shared" si="12"/>
        <v>number</v>
      </c>
      <c r="L70" s="23" t="str">
        <f t="shared" si="13"/>
        <v/>
      </c>
      <c r="M70" s="20" t="s">
        <v>1688</v>
      </c>
      <c r="N70" s="20"/>
      <c r="O70" s="20"/>
      <c r="P70" s="20" t="s">
        <v>1701</v>
      </c>
      <c r="Q70" s="20">
        <v>1</v>
      </c>
      <c r="R70" s="20"/>
      <c r="S70" s="2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spans="1:30">
      <c r="A71" s="41"/>
      <c r="B71" s="3" t="s">
        <v>1402</v>
      </c>
      <c r="C71" s="9" t="s">
        <v>1679</v>
      </c>
      <c r="D71" s="5"/>
      <c r="E71" s="5"/>
      <c r="F71" s="5"/>
      <c r="G71" s="4" t="s">
        <v>1680</v>
      </c>
      <c r="H71" s="4" t="s">
        <v>1681</v>
      </c>
      <c r="I71" s="5"/>
      <c r="J71" s="6" t="s">
        <v>1469</v>
      </c>
      <c r="K71" s="23" t="str">
        <f t="shared" si="10"/>
        <v>number</v>
      </c>
      <c r="L71" s="23" t="str">
        <f t="shared" si="11"/>
        <v/>
      </c>
      <c r="M71" s="20" t="s">
        <v>1495</v>
      </c>
      <c r="N71" s="20"/>
      <c r="O71" s="20"/>
      <c r="P71" s="20" t="s">
        <v>1701</v>
      </c>
      <c r="Q71" s="20">
        <v>1</v>
      </c>
      <c r="R71" s="20"/>
      <c r="S71" s="2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spans="1:30">
      <c r="A72" s="41"/>
      <c r="B72" s="3" t="s">
        <v>1402</v>
      </c>
      <c r="C72" s="9" t="s">
        <v>1682</v>
      </c>
      <c r="D72" s="5"/>
      <c r="E72" s="5"/>
      <c r="F72" s="5"/>
      <c r="G72" s="4" t="s">
        <v>1683</v>
      </c>
      <c r="H72" s="4" t="s">
        <v>1684</v>
      </c>
      <c r="I72" s="5"/>
      <c r="J72" s="6" t="s">
        <v>1469</v>
      </c>
      <c r="K72" s="23" t="str">
        <f t="shared" si="10"/>
        <v>number</v>
      </c>
      <c r="L72" s="23" t="str">
        <f t="shared" si="11"/>
        <v/>
      </c>
      <c r="M72" s="20" t="s">
        <v>1688</v>
      </c>
      <c r="N72" s="20"/>
      <c r="O72" s="20"/>
      <c r="P72" s="20" t="s">
        <v>1701</v>
      </c>
      <c r="Q72" s="20">
        <v>1</v>
      </c>
      <c r="R72" s="20"/>
      <c r="S72" s="2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spans="1:30">
      <c r="A73" s="41"/>
      <c r="B73" s="3" t="s">
        <v>1402</v>
      </c>
      <c r="C73" s="9" t="s">
        <v>1685</v>
      </c>
      <c r="D73" s="5"/>
      <c r="E73" s="5"/>
      <c r="F73" s="5"/>
      <c r="G73" s="4" t="s">
        <v>1686</v>
      </c>
      <c r="H73" s="4" t="s">
        <v>1687</v>
      </c>
      <c r="I73" s="5"/>
      <c r="J73" s="6" t="s">
        <v>1469</v>
      </c>
      <c r="K73" s="23" t="str">
        <f t="shared" si="10"/>
        <v>number</v>
      </c>
      <c r="L73" s="23" t="str">
        <f t="shared" si="11"/>
        <v/>
      </c>
      <c r="M73" s="20" t="s">
        <v>1688</v>
      </c>
      <c r="N73" s="20"/>
      <c r="O73" s="20"/>
      <c r="P73" s="20" t="s">
        <v>1701</v>
      </c>
      <c r="Q73" s="20">
        <v>1</v>
      </c>
      <c r="R73" s="20"/>
      <c r="S73" s="2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spans="1:30">
      <c r="A74" s="41"/>
      <c r="B74" s="3" t="s">
        <v>1402</v>
      </c>
      <c r="C74" s="9" t="s">
        <v>1544</v>
      </c>
      <c r="D74" s="5"/>
      <c r="E74" s="5"/>
      <c r="F74" s="5"/>
      <c r="G74" s="4" t="s">
        <v>1545</v>
      </c>
      <c r="H74" s="4" t="s">
        <v>1546</v>
      </c>
      <c r="I74" s="5"/>
      <c r="J74" s="6" t="s">
        <v>4</v>
      </c>
      <c r="K74" s="23" t="str">
        <f t="shared" si="10"/>
        <v>string</v>
      </c>
      <c r="L74" s="23" t="str">
        <f t="shared" si="11"/>
        <v/>
      </c>
      <c r="M74" s="20"/>
      <c r="N74" s="20"/>
      <c r="O74" s="20"/>
      <c r="P74" s="20"/>
      <c r="Q74" s="20">
        <v>1</v>
      </c>
      <c r="R74" s="20"/>
      <c r="S74" s="2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spans="1:30">
      <c r="A75" s="41"/>
      <c r="B75" s="3" t="s">
        <v>1402</v>
      </c>
      <c r="C75" s="9" t="s">
        <v>1547</v>
      </c>
      <c r="D75" s="5"/>
      <c r="E75" s="5"/>
      <c r="F75" s="5"/>
      <c r="G75" s="4" t="s">
        <v>1548</v>
      </c>
      <c r="H75" s="4" t="s">
        <v>1549</v>
      </c>
      <c r="I75" s="5"/>
      <c r="J75" s="6" t="s">
        <v>4</v>
      </c>
      <c r="K75" s="23" t="str">
        <f t="shared" si="10"/>
        <v>string</v>
      </c>
      <c r="L75" s="23" t="str">
        <f t="shared" si="11"/>
        <v/>
      </c>
      <c r="M75" s="20"/>
      <c r="N75" s="20"/>
      <c r="O75" s="20"/>
      <c r="P75" s="20"/>
      <c r="Q75" s="20">
        <v>1</v>
      </c>
      <c r="R75" s="20"/>
      <c r="S75" s="2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spans="1:30">
      <c r="A76" s="41"/>
      <c r="B76" s="3" t="s">
        <v>1402</v>
      </c>
      <c r="C76" s="9" t="s">
        <v>1550</v>
      </c>
      <c r="D76" s="5"/>
      <c r="E76" s="5"/>
      <c r="F76" s="5"/>
      <c r="G76" s="4" t="s">
        <v>1551</v>
      </c>
      <c r="H76" s="4" t="s">
        <v>1552</v>
      </c>
      <c r="I76" s="5"/>
      <c r="J76" s="6" t="s">
        <v>4</v>
      </c>
      <c r="K76" s="23" t="str">
        <f t="shared" si="10"/>
        <v>string</v>
      </c>
      <c r="L76" s="23" t="str">
        <f t="shared" si="11"/>
        <v/>
      </c>
      <c r="M76" s="20"/>
      <c r="N76" s="20"/>
      <c r="O76" s="20"/>
      <c r="P76" s="20"/>
      <c r="Q76" s="20">
        <v>1</v>
      </c>
      <c r="R76" s="20"/>
      <c r="S76" s="2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spans="1:30">
      <c r="A77" s="41"/>
      <c r="B77" s="3" t="s">
        <v>1402</v>
      </c>
      <c r="C77" s="9" t="s">
        <v>1553</v>
      </c>
      <c r="D77" s="5"/>
      <c r="E77" s="5"/>
      <c r="F77" s="5"/>
      <c r="G77" s="4" t="s">
        <v>1554</v>
      </c>
      <c r="H77" s="4" t="s">
        <v>1555</v>
      </c>
      <c r="I77" s="5"/>
      <c r="J77" s="6" t="s">
        <v>4</v>
      </c>
      <c r="K77" s="23" t="str">
        <f t="shared" si="10"/>
        <v>string</v>
      </c>
      <c r="L77" s="23" t="str">
        <f t="shared" si="11"/>
        <v/>
      </c>
      <c r="M77" s="20"/>
      <c r="N77" s="20"/>
      <c r="O77" s="20"/>
      <c r="P77" s="20"/>
      <c r="Q77" s="20">
        <v>1</v>
      </c>
      <c r="R77" s="20"/>
      <c r="S77" s="2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spans="1:30">
      <c r="A78" s="41"/>
      <c r="B78" s="3" t="s">
        <v>1402</v>
      </c>
      <c r="C78" s="9" t="s">
        <v>1556</v>
      </c>
      <c r="D78" s="5"/>
      <c r="E78" s="5"/>
      <c r="F78" s="5"/>
      <c r="G78" s="4" t="s">
        <v>1557</v>
      </c>
      <c r="H78" s="4" t="s">
        <v>1558</v>
      </c>
      <c r="I78" s="5"/>
      <c r="J78" s="6" t="s">
        <v>4</v>
      </c>
      <c r="K78" s="23" t="str">
        <f t="shared" ref="K78" si="14">_xlfn.IFS(J78="integer","integer",J78="number","number",J78="array","array",J78="boolean","boolean",TRUE,"string")</f>
        <v>string</v>
      </c>
      <c r="L78" s="23" t="str">
        <f t="shared" ref="L78" si="15">_xlfn.IFS(J78="datetime","date-time",J78="duration","duration",TRUE,"")</f>
        <v/>
      </c>
      <c r="M78" s="20"/>
      <c r="N78" s="20"/>
      <c r="O78" s="20"/>
      <c r="P78" s="20"/>
      <c r="Q78" s="20">
        <v>1</v>
      </c>
      <c r="R78" s="20"/>
      <c r="S78" s="2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spans="1:30">
      <c r="A79" s="41"/>
      <c r="B79" s="3" t="s">
        <v>1402</v>
      </c>
      <c r="C79" s="9" t="s">
        <v>1556</v>
      </c>
      <c r="D79" s="5"/>
      <c r="E79" s="5"/>
      <c r="F79" s="5"/>
      <c r="G79" s="4" t="s">
        <v>1557</v>
      </c>
      <c r="H79" s="4" t="s">
        <v>1558</v>
      </c>
      <c r="I79" s="5"/>
      <c r="J79" s="6" t="s">
        <v>4</v>
      </c>
      <c r="K79" s="23" t="str">
        <f t="shared" si="6"/>
        <v>string</v>
      </c>
      <c r="L79" s="23" t="str">
        <f t="shared" si="7"/>
        <v/>
      </c>
      <c r="M79" s="20"/>
      <c r="N79" s="20"/>
      <c r="O79" s="20"/>
      <c r="P79" s="20"/>
      <c r="Q79" s="20">
        <v>1</v>
      </c>
      <c r="R79" s="20"/>
      <c r="S79" s="2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spans="1:30">
      <c r="A80" s="41"/>
      <c r="B80" s="3" t="s">
        <v>44</v>
      </c>
      <c r="C80" s="9"/>
      <c r="D80" s="5"/>
      <c r="E80" s="5"/>
      <c r="F80" s="5"/>
      <c r="G80" s="4"/>
      <c r="H80" s="4"/>
      <c r="I80" s="5"/>
      <c r="J80" s="6" t="s">
        <v>4</v>
      </c>
      <c r="K80" s="23" t="str">
        <f t="shared" ref="K80" si="16">_xlfn.IFS(J80="integer","integer",J80="number","number",J80="array","array",J80="boolean","boolean",TRUE,"string")</f>
        <v>string</v>
      </c>
      <c r="L80" s="23" t="str">
        <f t="shared" ref="L80" si="17">_xlfn.IFS(J80="datetime","date-time",J80="duration","duration",TRUE,"")</f>
        <v/>
      </c>
      <c r="M80" s="20"/>
      <c r="N80" s="20"/>
      <c r="O80" s="20"/>
      <c r="P80" s="20"/>
      <c r="Q80" s="20"/>
      <c r="R80" s="20"/>
      <c r="S80" s="2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spans="1:19">
      <c r="A81" s="41"/>
      <c r="B81" s="3" t="s">
        <v>44</v>
      </c>
      <c r="C81" s="9"/>
      <c r="D81" s="7"/>
      <c r="E81" s="7"/>
      <c r="F81" s="7"/>
      <c r="G81" s="6"/>
      <c r="H81" s="6"/>
      <c r="I81" s="7"/>
      <c r="J81" s="6" t="s">
        <v>4</v>
      </c>
      <c r="K81" s="23" t="str">
        <f t="shared" si="0"/>
        <v>string</v>
      </c>
      <c r="L81" s="23" t="str">
        <f t="shared" si="1"/>
        <v/>
      </c>
      <c r="M81" s="7"/>
      <c r="N81" s="7"/>
      <c r="O81" s="7"/>
      <c r="P81" s="7"/>
      <c r="Q81" s="7"/>
      <c r="R81" s="7"/>
      <c r="S81" s="8"/>
    </row>
    <row r="82" spans="1:19">
      <c r="B82" s="27"/>
    </row>
  </sheetData>
  <mergeCells count="1">
    <mergeCell ref="A3:A8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81" xr:uid="{C77DE921-00C9-402E-B063-7FE813E1C579}">
      <formula1>"ON,OFF"</formula1>
    </dataValidation>
    <dataValidation type="list" allowBlank="1" showInputMessage="1" showErrorMessage="1" sqref="Q4:Q81" xr:uid="{973D0976-273D-4B1E-AD82-53B3E7F58099}">
      <formula1>"　,TRUE"</formula1>
    </dataValidation>
    <dataValidation type="list" allowBlank="1" showInputMessage="1" showErrorMessage="1" sqref="J3:J8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N7" activePane="bottomRight" state="frozen"/>
      <selection pane="topRight" activeCell="E1" sqref="E1"/>
      <selection pane="bottomLeft" activeCell="A7" sqref="A7"/>
      <selection pane="bottomRight" activeCell="S7" sqref="S7:S25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https://rde.nims.go.jp/rde/dataset-templates/RDEDatasetTemplateSheet_RDE_XRD_rigaku/invoice.schema.json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標準データセットテンプレートRDE_XRDのrigaku用RDEデータセットテンプレート: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1393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1397</v>
      </c>
      <c r="D6" s="2" t="s">
        <v>1401</v>
      </c>
      <c r="E6" s="2" t="s">
        <v>1400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1396</v>
      </c>
      <c r="N6" s="2" t="s">
        <v>1398</v>
      </c>
      <c r="O6" s="2" t="s">
        <v>1395</v>
      </c>
      <c r="P6" s="2" t="s">
        <v>1399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1402</v>
      </c>
      <c r="D7" s="18" t="s">
        <v>1560</v>
      </c>
      <c r="E7" s="19"/>
      <c r="F7" s="15" t="s">
        <v>1561</v>
      </c>
      <c r="G7" s="15" t="s">
        <v>1562</v>
      </c>
      <c r="H7" s="12"/>
      <c r="I7" s="12"/>
      <c r="J7" s="12" t="s">
        <v>1563</v>
      </c>
      <c r="K7" s="16"/>
      <c r="L7" s="7"/>
      <c r="M7" s="6" t="s">
        <v>1469</v>
      </c>
      <c r="N7" s="29" t="str">
        <f>_xlfn.IFS(M7="integer","integer",M7="number","number",M7="boolean","boolean",TRUE,"string")</f>
        <v>number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1402</v>
      </c>
      <c r="D8" s="18" t="s">
        <v>1564</v>
      </c>
      <c r="E8" s="19"/>
      <c r="F8" s="15" t="s">
        <v>1565</v>
      </c>
      <c r="G8" s="15" t="s">
        <v>1566</v>
      </c>
      <c r="H8" s="12"/>
      <c r="I8" s="12"/>
      <c r="J8" s="12"/>
      <c r="K8" s="16"/>
      <c r="L8" s="7"/>
      <c r="M8" s="6" t="s">
        <v>4</v>
      </c>
      <c r="N8" s="29" t="str">
        <f t="shared" ref="N8:N26" si="0">_xlfn.IFS(M8="integer","integer",M8="number","number",M8="boolean","boolean",TRUE,"string")</f>
        <v>string</v>
      </c>
      <c r="O8" s="29" t="str">
        <f t="shared" ref="O8:O26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1402</v>
      </c>
      <c r="D9" s="18" t="s">
        <v>1482</v>
      </c>
      <c r="E9" s="19"/>
      <c r="F9" s="15" t="s">
        <v>1483</v>
      </c>
      <c r="G9" s="15" t="s">
        <v>1482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1402</v>
      </c>
      <c r="D10" s="18" t="s">
        <v>1484</v>
      </c>
      <c r="E10" s="19"/>
      <c r="F10" s="15" t="s">
        <v>1485</v>
      </c>
      <c r="G10" s="15" t="s">
        <v>1484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1402</v>
      </c>
      <c r="D11" s="18" t="s">
        <v>1486</v>
      </c>
      <c r="E11" s="19"/>
      <c r="F11" s="15" t="s">
        <v>1487</v>
      </c>
      <c r="G11" s="15" t="s">
        <v>1486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1402</v>
      </c>
      <c r="D12" s="18" t="s">
        <v>1488</v>
      </c>
      <c r="E12" s="19"/>
      <c r="F12" s="15" t="s">
        <v>1489</v>
      </c>
      <c r="G12" s="15" t="s">
        <v>1488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1402</v>
      </c>
      <c r="D13" s="18" t="s">
        <v>1490</v>
      </c>
      <c r="E13" s="19"/>
      <c r="F13" s="15" t="s">
        <v>1491</v>
      </c>
      <c r="G13" s="15" t="s">
        <v>1490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1402</v>
      </c>
      <c r="D14" s="18" t="s">
        <v>1470</v>
      </c>
      <c r="E14" s="19"/>
      <c r="F14" s="15" t="s">
        <v>1471</v>
      </c>
      <c r="G14" s="15" t="s">
        <v>1492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 t="s">
        <v>1567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1402</v>
      </c>
      <c r="D15" s="18" t="s">
        <v>1472</v>
      </c>
      <c r="E15" s="19"/>
      <c r="F15" s="15" t="s">
        <v>1473</v>
      </c>
      <c r="G15" s="15" t="s">
        <v>1474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 t="s">
        <v>1481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1402</v>
      </c>
      <c r="D16" s="18" t="s">
        <v>1475</v>
      </c>
      <c r="E16" s="19"/>
      <c r="F16" s="15" t="s">
        <v>1476</v>
      </c>
      <c r="G16" s="15" t="s">
        <v>1477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 t="s">
        <v>1520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1402</v>
      </c>
      <c r="D17" s="18" t="s">
        <v>1478</v>
      </c>
      <c r="E17" s="19"/>
      <c r="F17" s="15" t="s">
        <v>1479</v>
      </c>
      <c r="G17" s="15" t="s">
        <v>1480</v>
      </c>
      <c r="H17" s="12"/>
      <c r="I17" s="12"/>
      <c r="J17" s="12"/>
      <c r="K17" s="16"/>
      <c r="L17" s="7"/>
      <c r="M17" s="6" t="s">
        <v>4</v>
      </c>
      <c r="N17" s="29" t="str">
        <f t="shared" ref="N17:N25" si="2">_xlfn.IFS(M17="integer","integer",M17="number","number",M17="boolean","boolean",TRUE,"string")</f>
        <v>string</v>
      </c>
      <c r="O17" s="29" t="str">
        <f t="shared" ref="O17:O25" si="3">_xlfn.IFS(M17="date","date",M17="markdown","markdown",M17="time", "time",M17="uri","uri",M17="uuid","uuid",TRUE,"")</f>
        <v/>
      </c>
      <c r="P17" s="29"/>
      <c r="Q17" s="19"/>
      <c r="R17" s="19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1402</v>
      </c>
      <c r="D18" s="18" t="s">
        <v>1496</v>
      </c>
      <c r="E18" s="19"/>
      <c r="F18" s="15" t="s">
        <v>1497</v>
      </c>
      <c r="G18" s="15" t="s">
        <v>1498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 t="s">
        <v>1568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2"/>
      <c r="B19" s="42"/>
      <c r="C19" s="3" t="s">
        <v>1402</v>
      </c>
      <c r="D19" s="18" t="s">
        <v>1499</v>
      </c>
      <c r="E19" s="19"/>
      <c r="F19" s="15" t="s">
        <v>1500</v>
      </c>
      <c r="G19" s="15" t="s">
        <v>1501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1569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2"/>
      <c r="B20" s="42"/>
      <c r="C20" s="3" t="s">
        <v>1402</v>
      </c>
      <c r="D20" s="18" t="s">
        <v>1502</v>
      </c>
      <c r="E20" s="19"/>
      <c r="F20" s="15" t="s">
        <v>1503</v>
      </c>
      <c r="G20" s="15" t="s">
        <v>1504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2"/>
      <c r="B21" s="42"/>
      <c r="C21" s="3" t="s">
        <v>1402</v>
      </c>
      <c r="D21" s="18" t="s">
        <v>1505</v>
      </c>
      <c r="E21" s="19"/>
      <c r="F21" s="15" t="s">
        <v>1506</v>
      </c>
      <c r="G21" s="15" t="s">
        <v>1507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2"/>
      <c r="B22" s="42"/>
      <c r="C22" s="3" t="s">
        <v>1402</v>
      </c>
      <c r="D22" s="18" t="s">
        <v>1508</v>
      </c>
      <c r="E22" s="19"/>
      <c r="F22" s="15" t="s">
        <v>1509</v>
      </c>
      <c r="G22" s="15" t="s">
        <v>1510</v>
      </c>
      <c r="H22" s="12"/>
      <c r="I22" s="12"/>
      <c r="J22" s="12"/>
      <c r="K22" s="16"/>
      <c r="L22" s="7"/>
      <c r="M22" s="6" t="s">
        <v>4</v>
      </c>
      <c r="N22" s="29" t="str">
        <f t="shared" ref="N22:N24" si="4">_xlfn.IFS(M22="integer","integer",M22="number","number",M22="boolean","boolean",TRUE,"string")</f>
        <v>string</v>
      </c>
      <c r="O22" s="29" t="str">
        <f t="shared" ref="O22:O24" si="5">_xlfn.IFS(M22="date","date",M22="markdown","markdown",M22="time", "time",M22="uri","uri",M22="uuid","uuid",TRUE,"")</f>
        <v/>
      </c>
      <c r="P22" s="29"/>
      <c r="Q22" s="19"/>
      <c r="R22" s="19"/>
      <c r="S22" s="12"/>
      <c r="T22" s="12"/>
      <c r="U22" s="20"/>
      <c r="V22" s="20"/>
      <c r="W22" s="12"/>
      <c r="X22" s="12"/>
      <c r="Y22" s="12"/>
      <c r="Z22" s="12"/>
      <c r="AA22" s="12"/>
      <c r="AB22" s="12"/>
      <c r="AC22" s="12"/>
    </row>
    <row r="23" spans="1:29">
      <c r="A23" s="42"/>
      <c r="B23" s="42"/>
      <c r="C23" s="3" t="s">
        <v>1402</v>
      </c>
      <c r="D23" s="18" t="s">
        <v>1511</v>
      </c>
      <c r="E23" s="19"/>
      <c r="F23" s="15" t="s">
        <v>1512</v>
      </c>
      <c r="G23" s="15" t="s">
        <v>1513</v>
      </c>
      <c r="H23" s="12"/>
      <c r="I23" s="12"/>
      <c r="J23" s="12"/>
      <c r="K23" s="16"/>
      <c r="L23" s="7"/>
      <c r="M23" s="6" t="s">
        <v>1468</v>
      </c>
      <c r="N23" s="29" t="str">
        <f t="shared" si="4"/>
        <v>string</v>
      </c>
      <c r="O23" s="29" t="str">
        <f t="shared" si="5"/>
        <v>date</v>
      </c>
      <c r="P23" s="29"/>
      <c r="Q23" s="19"/>
      <c r="R23" s="19"/>
      <c r="S23" s="12"/>
      <c r="T23" s="12"/>
      <c r="U23" s="20" t="s">
        <v>1522</v>
      </c>
      <c r="V23" s="20" t="s">
        <v>1523</v>
      </c>
      <c r="W23" s="12"/>
      <c r="X23" s="12"/>
      <c r="Y23" s="12"/>
      <c r="Z23" s="12"/>
      <c r="AA23" s="12"/>
      <c r="AB23" s="12"/>
      <c r="AC23" s="12"/>
    </row>
    <row r="24" spans="1:29">
      <c r="A24" s="42"/>
      <c r="B24" s="42"/>
      <c r="C24" s="3" t="s">
        <v>1402</v>
      </c>
      <c r="D24" s="18" t="s">
        <v>1514</v>
      </c>
      <c r="E24" s="19"/>
      <c r="F24" s="15" t="s">
        <v>1515</v>
      </c>
      <c r="G24" s="15" t="s">
        <v>1516</v>
      </c>
      <c r="H24" s="12"/>
      <c r="I24" s="12"/>
      <c r="J24" s="12"/>
      <c r="K24" s="16"/>
      <c r="L24" s="7"/>
      <c r="M24" s="6" t="s">
        <v>4</v>
      </c>
      <c r="N24" s="29" t="str">
        <f t="shared" si="4"/>
        <v>string</v>
      </c>
      <c r="O24" s="29" t="str">
        <f t="shared" si="5"/>
        <v/>
      </c>
      <c r="P24" s="29"/>
      <c r="Q24" s="19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2"/>
      <c r="B25" s="42"/>
      <c r="C25" s="3" t="s">
        <v>1402</v>
      </c>
      <c r="D25" s="18" t="s">
        <v>1517</v>
      </c>
      <c r="E25" s="19"/>
      <c r="F25" s="15" t="s">
        <v>1518</v>
      </c>
      <c r="G25" s="15" t="s">
        <v>1519</v>
      </c>
      <c r="H25" s="12"/>
      <c r="I25" s="12"/>
      <c r="J25" s="12"/>
      <c r="K25" s="16"/>
      <c r="L25" s="7"/>
      <c r="M25" s="6" t="s">
        <v>4</v>
      </c>
      <c r="N25" s="29" t="str">
        <f t="shared" si="2"/>
        <v>string</v>
      </c>
      <c r="O25" s="29" t="str">
        <f t="shared" si="3"/>
        <v/>
      </c>
      <c r="P25" s="29"/>
      <c r="Q25" s="19"/>
      <c r="R25" s="19"/>
      <c r="S25" s="12"/>
      <c r="T25" s="12"/>
      <c r="U25" s="40"/>
      <c r="V25" s="40"/>
      <c r="W25" s="12"/>
      <c r="X25" s="12"/>
      <c r="Y25" s="12"/>
      <c r="Z25" s="12"/>
      <c r="AA25" s="12"/>
      <c r="AB25" s="12"/>
      <c r="AC25" s="12"/>
    </row>
    <row r="26" spans="1:29">
      <c r="A26" s="42"/>
      <c r="B26" s="42"/>
      <c r="C26" s="3" t="s">
        <v>44</v>
      </c>
      <c r="D26" s="18"/>
      <c r="E26" s="19"/>
      <c r="F26" s="15"/>
      <c r="G26" s="15"/>
      <c r="H26" s="12"/>
      <c r="I26" s="12"/>
      <c r="J26" s="12"/>
      <c r="K26" s="16"/>
      <c r="L26" s="7"/>
      <c r="M26" s="6" t="s">
        <v>4</v>
      </c>
      <c r="N26" s="29" t="str">
        <f t="shared" si="0"/>
        <v>string</v>
      </c>
      <c r="O26" s="29" t="str">
        <f t="shared" si="1"/>
        <v/>
      </c>
      <c r="P26" s="29"/>
      <c r="Q26" s="19"/>
      <c r="R26" s="19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2"/>
      <c r="B27" s="42"/>
      <c r="C27" s="3" t="s">
        <v>44</v>
      </c>
      <c r="D27" s="18"/>
      <c r="E27" s="19"/>
      <c r="F27" s="15"/>
      <c r="G27" s="15"/>
      <c r="H27" s="12"/>
      <c r="I27" s="12"/>
      <c r="J27" s="12"/>
      <c r="K27" s="16"/>
      <c r="L27" s="7"/>
      <c r="M27" s="6" t="s">
        <v>4</v>
      </c>
      <c r="N27" s="29" t="str">
        <f t="shared" ref="N27" si="6">_xlfn.IFS(M27="integer","integer",M27="number","number",M27="boolean","boolean",TRUE,"string")</f>
        <v>string</v>
      </c>
      <c r="O27" s="29" t="str">
        <f t="shared" ref="O27" si="7">_xlfn.IFS(M27="date","date",M27="markdown","markdown",M27="time", "time",M27="uri","uri",M27="uuid","uuid",TRUE,"")</f>
        <v/>
      </c>
      <c r="P27" s="29" t="str">
        <f t="shared" ref="P27" si="8">_xlfn.IFS(M27="textarea","textarea",TRUE,"")</f>
        <v/>
      </c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3" t="s">
        <v>1379</v>
      </c>
      <c r="B28" s="42" t="s">
        <v>79</v>
      </c>
      <c r="C28" s="3" t="s">
        <v>44</v>
      </c>
      <c r="D28" s="15" t="s">
        <v>34</v>
      </c>
      <c r="E28" s="19"/>
      <c r="F28" s="15" t="s">
        <v>1430</v>
      </c>
      <c r="G28" s="15" t="s">
        <v>1431</v>
      </c>
      <c r="H28" s="12"/>
      <c r="I28" s="12"/>
      <c r="J28" s="19"/>
      <c r="K28" s="1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44"/>
      <c r="B29" s="42"/>
      <c r="C29" s="3" t="s">
        <v>44</v>
      </c>
      <c r="D29" s="15" t="s">
        <v>35</v>
      </c>
      <c r="E29" s="19"/>
      <c r="F29" s="15" t="s">
        <v>1432</v>
      </c>
      <c r="G29" s="15" t="s">
        <v>1433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44"/>
      <c r="B30" s="42"/>
      <c r="C30" s="3" t="s">
        <v>44</v>
      </c>
      <c r="D30" s="15" t="s">
        <v>36</v>
      </c>
      <c r="E30" s="19"/>
      <c r="F30" s="15" t="s">
        <v>1434</v>
      </c>
      <c r="G30" s="15" t="s">
        <v>1435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44"/>
      <c r="B31" s="42"/>
      <c r="C31" s="3" t="s">
        <v>44</v>
      </c>
      <c r="D31" s="15" t="s">
        <v>37</v>
      </c>
      <c r="E31" s="19"/>
      <c r="F31" s="15" t="s">
        <v>1436</v>
      </c>
      <c r="G31" s="15" t="s">
        <v>1437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44"/>
      <c r="B32" s="42"/>
      <c r="C32" s="3" t="s">
        <v>44</v>
      </c>
      <c r="D32" s="15" t="s">
        <v>38</v>
      </c>
      <c r="E32" s="19"/>
      <c r="F32" s="15" t="s">
        <v>1438</v>
      </c>
      <c r="G32" s="15" t="s">
        <v>1439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44"/>
      <c r="B33" s="42"/>
      <c r="C33" s="3" t="s">
        <v>44</v>
      </c>
      <c r="D33" s="15" t="s">
        <v>39</v>
      </c>
      <c r="E33" s="19"/>
      <c r="F33" s="15" t="s">
        <v>1440</v>
      </c>
      <c r="G33" s="15" t="s">
        <v>1441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>
      <c r="A34" s="45"/>
      <c r="B34" s="42"/>
      <c r="C34" s="3" t="s">
        <v>44</v>
      </c>
      <c r="D34" s="15" t="s">
        <v>16</v>
      </c>
      <c r="E34" s="19"/>
      <c r="F34" s="15" t="s">
        <v>1442</v>
      </c>
      <c r="G34" s="15" t="s">
        <v>1443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>
      <c r="A35" s="43" t="s">
        <v>1380</v>
      </c>
      <c r="B35" s="42" t="s">
        <v>40</v>
      </c>
      <c r="C35" s="3" t="s">
        <v>1402</v>
      </c>
      <c r="D35" s="18" t="str">
        <f>IFERROR(INDEX(sample.general_sample_term!A:H,MATCH($E35,sample.general_sample_term!C:C,FALSE),2),"")</f>
        <v>sample.general.general-name</v>
      </c>
      <c r="E35" s="14" t="s">
        <v>1274</v>
      </c>
      <c r="F35" s="18" t="str">
        <f>IFERROR(INDEX(sample.general_sample_term!A:H,MATCH($E35,sample.general_sample_term!C:C,FALSE),3),"")</f>
        <v>一般名称</v>
      </c>
      <c r="G35" s="18" t="str">
        <f>IFERROR(INDEX(sample.general_sample_term!A:H,MATCH($E35,sample.general_sample_term!C:C,FALSE),4),"")</f>
        <v>General name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IFERROR(INDEX(sample.general_sample_term!A:H,MATCH($E35,sample.general_sample_term!C:C,FALSE),5),"")</f>
        <v>一般名称を入力してください</v>
      </c>
      <c r="V35" s="18" t="str">
        <f>IFERROR(INDEX(sample.general_sample_term!A:H,MATCH($E35,sample.general_sample_term!C:C,FALSE),6),"")</f>
        <v>Please enter General name</v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1402</v>
      </c>
      <c r="D36" s="18" t="str">
        <f>IFERROR(INDEX(sample.general_sample_term!A:H,MATCH($E36,sample.general_sample_term!C:C,FALSE),2),"")</f>
        <v>sample.general.cas-number</v>
      </c>
      <c r="E36" s="14" t="s">
        <v>1160</v>
      </c>
      <c r="F36" s="18" t="str">
        <f>IFERROR(INDEX(sample.general_sample_term!A:H,MATCH($E36,sample.general_sample_term!C:C,FALSE),3),"")</f>
        <v>CAS番号</v>
      </c>
      <c r="G36" s="18" t="str">
        <f>IFERROR(INDEX(sample.general_sample_term!A:H,MATCH($E36,sample.general_sample_term!C:C,FALSE),4),"")</f>
        <v>CAS Number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>CAS番号を入力してください</v>
      </c>
      <c r="V36" s="18" t="str">
        <f>IFERROR(INDEX(sample.general_sample_term!A:H,MATCH($E36,sample.general_sample_term!C:C,FALSE),6),"")</f>
        <v>Please enter CAS Number</v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1402</v>
      </c>
      <c r="D37" s="18" t="str">
        <f>IFERROR(INDEX(sample.general_sample_term!A:H,MATCH($E37,sample.general_sample_term!C:C,FALSE),2),"")</f>
        <v>sample.general.crystal-structure</v>
      </c>
      <c r="E37" s="14" t="s">
        <v>1175</v>
      </c>
      <c r="F37" s="18" t="str">
        <f>IFERROR(INDEX(sample.general_sample_term!A:H,MATCH($E37,sample.general_sample_term!C:C,FALSE),3),"")</f>
        <v>結晶構造</v>
      </c>
      <c r="G37" s="18" t="str">
        <f>IFERROR(INDEX(sample.general_sample_term!A:H,MATCH($E37,sample.general_sample_term!C:C,FALSE),4),"")</f>
        <v>Crystal structure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>結晶構造を入力してください</v>
      </c>
      <c r="V37" s="18" t="str">
        <f>IFERROR(INDEX(sample.general_sample_term!A:H,MATCH($E37,sample.general_sample_term!C:C,FALSE),6),"")</f>
        <v>Please enter Crystal structure</v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1402</v>
      </c>
      <c r="D38" s="18" t="str">
        <f>IFERROR(INDEX(sample.general_sample_term!A:H,MATCH($E38,sample.general_sample_term!C:C,FALSE),2),"")</f>
        <v>sample.general.sample-shape</v>
      </c>
      <c r="E38" s="14" t="s">
        <v>1191</v>
      </c>
      <c r="F38" s="18" t="str">
        <f>IFERROR(INDEX(sample.general_sample_term!A:H,MATCH($E38,sample.general_sample_term!C:C,FALSE),3),"")</f>
        <v>試料形状</v>
      </c>
      <c r="G38" s="18" t="str">
        <f>IFERROR(INDEX(sample.general_sample_term!A:H,MATCH($E38,sample.general_sample_term!C:C,FALSE),4),"")</f>
        <v>Sample shape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>試料形状を入力してください</v>
      </c>
      <c r="V38" s="18" t="str">
        <f>IFERROR(INDEX(sample.general_sample_term!A:H,MATCH($E38,sample.general_sample_term!C:C,FALSE),6),"")</f>
        <v>Please enter Sample shape</v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2"/>
      <c r="C39" s="3" t="s">
        <v>1402</v>
      </c>
      <c r="D39" s="18" t="str">
        <f>IFERROR(INDEX(sample.general_sample_term!A:H,MATCH($E39,sample.general_sample_term!C:C,FALSE),2),"")</f>
        <v>sample.general.purchase-date</v>
      </c>
      <c r="E39" s="14" t="s">
        <v>1165</v>
      </c>
      <c r="F39" s="18" t="str">
        <f>IFERROR(INDEX(sample.general_sample_term!A:H,MATCH($E39,sample.general_sample_term!C:C,FALSE),3),"")</f>
        <v>試料購入日</v>
      </c>
      <c r="G39" s="18" t="str">
        <f>IFERROR(INDEX(sample.general_sample_term!A:H,MATCH($E39,sample.general_sample_term!C:C,FALSE),4),"")</f>
        <v>Purchase date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>試料購入日を入力してください</v>
      </c>
      <c r="V39" s="18" t="str">
        <f>IFERROR(INDEX(sample.general_sample_term!A:H,MATCH($E39,sample.general_sample_term!C:C,FALSE),6),"")</f>
        <v>Please enter Purchase date</v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2"/>
      <c r="C40" s="3" t="s">
        <v>1402</v>
      </c>
      <c r="D40" s="18" t="str">
        <f>IFERROR(INDEX(sample.general_sample_term!A:H,MATCH($E40,sample.general_sample_term!C:C,FALSE),2),"")</f>
        <v>sample.general.supplier</v>
      </c>
      <c r="E40" s="14" t="s">
        <v>834</v>
      </c>
      <c r="F40" s="18" t="str">
        <f>IFERROR(INDEX(sample.general_sample_term!A:H,MATCH($E40,sample.general_sample_term!C:C,FALSE),3),"")</f>
        <v>購入元</v>
      </c>
      <c r="G40" s="18" t="str">
        <f>IFERROR(INDEX(sample.general_sample_term!A:H,MATCH($E40,sample.general_sample_term!C:C,FALSE),4),"")</f>
        <v>Supplier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/>
      </c>
      <c r="V40" s="18" t="str">
        <f>IFERROR(INDEX(sample.general_sample_term!A:H,MATCH($E40,sample.general_sample_term!C:C,FALSE),6),"")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4"/>
      <c r="B41" s="42"/>
      <c r="C41" s="3" t="s">
        <v>1402</v>
      </c>
      <c r="D41" s="18" t="str">
        <f>IFERROR(INDEX(sample.general_sample_term!A:H,MATCH($E41,sample.general_sample_term!C:C,FALSE),2),"")</f>
        <v>sample.general.lot-number-or-product-number-etc</v>
      </c>
      <c r="E41" s="14" t="s">
        <v>1156</v>
      </c>
      <c r="F41" s="18" t="str">
        <f>IFERROR(INDEX(sample.general_sample_term!A:H,MATCH($E41,sample.general_sample_term!C:C,FALSE),3),"")</f>
        <v>ロット番号、製造番号など</v>
      </c>
      <c r="G41" s="18" t="str">
        <f>IFERROR(INDEX(sample.general_sample_term!A:H,MATCH($E41,sample.general_sample_term!C:C,FALSE),4),"")</f>
        <v>Lot number or product number etc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/>
      </c>
      <c r="V41" s="18" t="str">
        <f>IFERROR(INDEX(sample.general_sample_term!A:H,MATCH($E41,sample.general_sample_term!C:C,FALSE),6),"")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4"/>
      <c r="B42" s="42"/>
      <c r="C42" s="3" t="s">
        <v>44</v>
      </c>
      <c r="D42" s="18" t="str">
        <f>IFERROR(INDEX(sample.general_sample_term!A:H,MATCH($E42,sample.general_sample_term!C:C,FALSE),2),"")</f>
        <v/>
      </c>
      <c r="E42" s="14"/>
      <c r="F42" s="18" t="str">
        <f>IFERROR(INDEX(sample.general_sample_term!A:H,MATCH($E42,sample.general_sample_term!C:C,FALSE),3),"")</f>
        <v/>
      </c>
      <c r="G42" s="18" t="str">
        <f>IFERROR(INDEX(sample.general_sample_term!A:H,MATCH($E42,sample.general_sample_term!C:C,FALSE),4),"")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IFERROR(INDEX(sample.general_sample_term!A:H,MATCH($E42,sample.general_sample_term!C:C,FALSE),5),"")</f>
        <v/>
      </c>
      <c r="V42" s="18" t="str">
        <f>IFERROR(INDEX(sample.general_sample_term!A:H,MATCH($E42,sample.general_sample_term!C:C,FALSE),6),"")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5"/>
      <c r="B43" s="42"/>
      <c r="C43" s="3" t="s">
        <v>44</v>
      </c>
      <c r="D43" s="18" t="str">
        <f>IFERROR(INDEX(sample.general_sample_term!A:H,MATCH($E43,sample.general_sample_term!C:C,FALSE),2),"")</f>
        <v/>
      </c>
      <c r="E43" s="14"/>
      <c r="F43" s="18" t="str">
        <f>IFERROR(INDEX(sample.general_sample_term!A:H,MATCH($E43,sample.general_sample_term!C:C,FALSE),3),"")</f>
        <v/>
      </c>
      <c r="G43" s="18" t="str">
        <f>IFERROR(INDEX(sample.general_sample_term!A:H,MATCH($E43,sample.general_sample_term!C:C,FALSE),4),"")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/>
      </c>
      <c r="V43" s="18" t="str">
        <f>IFERROR(INDEX(sample.general_sample_term!A:H,MATCH($E43,sample.general_sample_term!C:C,FALSE),6),"")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43" t="s">
        <v>1381</v>
      </c>
      <c r="B44" s="42" t="s">
        <v>41</v>
      </c>
      <c r="C44" s="3" t="s">
        <v>44</v>
      </c>
      <c r="D44" s="18" t="str">
        <f>IFERROR(INDEX(sample.specific_sample_term!A:M,MATCH($E44,sample.specific_sample_term!L:L,FALSE),3),"")</f>
        <v/>
      </c>
      <c r="E44" s="14"/>
      <c r="F44" s="18" t="str">
        <f>IFERROR(INDEX(sample.specific_sample_term!A:M,MATCH($E44,sample.specific_sample_term!L:L,FALSE),12),"")</f>
        <v/>
      </c>
      <c r="G44" s="18" t="str">
        <f>IFERROR(INDEX(sample.specific_sample_term!A:M,MATCH($E44,sample.specific_sample_term!L:L,FALSE),13),"")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IFERROR(INDEX(sample.specific_sample_term!A:M,MATCH($E44,sample.specific_sample_term!L:L,FALSE),8),"")</f>
        <v/>
      </c>
      <c r="V44" s="18" t="str">
        <f>IFERROR(INDEX(sample.specific_sample_term!A:M,MATCH($E44,sample.specific_sample_term!L:L,FALSE),9),"")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44"/>
      <c r="B45" s="42"/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44"/>
      <c r="B46" s="42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44"/>
      <c r="B47" s="42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44"/>
      <c r="B48" s="42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44"/>
      <c r="B49" s="42"/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44"/>
      <c r="B50" s="42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44"/>
      <c r="B51" s="42"/>
      <c r="C51" s="3" t="s">
        <v>44</v>
      </c>
      <c r="D51" s="18" t="str">
        <f>IFERROR(INDEX(sample.specific_sample_term!A:M,MATCH($E51,sample.specific_sample_term!L:L,FALSE),3),"")</f>
        <v/>
      </c>
      <c r="E51" s="14"/>
      <c r="F51" s="18" t="str">
        <f>IFERROR(INDEX(sample.specific_sample_term!A:M,MATCH($E51,sample.specific_sample_term!L:L,FALSE),12),"")</f>
        <v/>
      </c>
      <c r="G51" s="18" t="str">
        <f>IFERROR(INDEX(sample.specific_sample_term!A:M,MATCH($E51,sample.specific_sample_term!L:L,FALSE),13),"")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IFERROR(INDEX(sample.specific_sample_term!A:M,MATCH($E51,sample.specific_sample_term!L:L,FALSE),8),"")</f>
        <v/>
      </c>
      <c r="V51" s="18" t="str">
        <f>IFERROR(INDEX(sample.specific_sample_term!A:M,MATCH($E51,sample.specific_sample_term!L:L,FALSE),9),"")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45"/>
      <c r="B52" s="42"/>
      <c r="C52" s="3" t="s">
        <v>44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</sheetData>
  <mergeCells count="11">
    <mergeCell ref="B1:E1"/>
    <mergeCell ref="B3:E3"/>
    <mergeCell ref="A7:A27"/>
    <mergeCell ref="B35:B43"/>
    <mergeCell ref="B28:B34"/>
    <mergeCell ref="B2:E2"/>
    <mergeCell ref="B44:B52"/>
    <mergeCell ref="B7:B27"/>
    <mergeCell ref="A28:A34"/>
    <mergeCell ref="A35:A43"/>
    <mergeCell ref="A44:A52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E35:E52">
    <cfRule type="expression" dxfId="18" priority="17">
      <formula>AND($C35="ON",ISBLANK(E35))</formula>
    </cfRule>
  </conditionalFormatting>
  <conditionalFormatting sqref="M7:M27 F7:G34 D28:D34">
    <cfRule type="expression" dxfId="17" priority="3">
      <formula>AND($C7="ON",ISBLANK(D7))</formula>
    </cfRule>
  </conditionalFormatting>
  <conditionalFormatting sqref="N7:O27">
    <cfRule type="cellIs" dxfId="16" priority="16" operator="equal">
      <formula>"ON"</formula>
    </cfRule>
  </conditionalFormatting>
  <conditionalFormatting sqref="Q7:Q2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7" xr:uid="{2D4AA448-C361-40D4-AD5E-FB8A11DF009A}">
      <formula1>"　,TRUE"</formula1>
    </dataValidation>
    <dataValidation type="list" allowBlank="1" showInputMessage="1" showErrorMessage="1" sqref="M7:M27" xr:uid="{5FE6F0C0-307E-46F0-BDAA-579DADBA61A0}">
      <formula1>"string,textarea,number,integer,list,date,markdown,time,boolean,uri,uuid"</formula1>
    </dataValidation>
    <dataValidation type="list" allowBlank="1" showInputMessage="1" showErrorMessage="1" sqref="C7:C52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E35:E43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E44:E52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https://rde.nims.go.jp/rde/dataset-templates/RDEDatasetTemplateSheet_RDE_XRD_rigaku/catalog.schema.json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標準データセットテンプレートRDE_XRDのrigaku用RDEデータセットテンプレート: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RDEDatasetTemplateSheet_RDE_XRD_rigaku:データカタログ定義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RDEDatasetTemplateSheet_RDE_XRD_rigaku:data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1393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1397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1396</v>
      </c>
      <c r="H8" s="2" t="s">
        <v>1398</v>
      </c>
      <c r="I8" s="2" t="s">
        <v>1395</v>
      </c>
      <c r="J8" s="2" t="s">
        <v>1399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1428</v>
      </c>
      <c r="B9" s="3" t="s">
        <v>1402</v>
      </c>
      <c r="C9" s="10" t="s">
        <v>1403</v>
      </c>
      <c r="D9" s="10" t="s">
        <v>1404</v>
      </c>
      <c r="E9" s="10" t="s">
        <v>1405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1402</v>
      </c>
      <c r="C10" s="10" t="s">
        <v>1406</v>
      </c>
      <c r="D10" s="10" t="s">
        <v>1407</v>
      </c>
      <c r="E10" s="10" t="s">
        <v>1408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1402</v>
      </c>
      <c r="C11" s="10" t="s">
        <v>1410</v>
      </c>
      <c r="D11" s="10" t="s">
        <v>1409</v>
      </c>
      <c r="E11" s="10" t="s">
        <v>1411</v>
      </c>
      <c r="F11" s="7" t="s">
        <v>56</v>
      </c>
      <c r="G11" s="6" t="s">
        <v>1426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1402</v>
      </c>
      <c r="C12" s="10" t="s">
        <v>1412</v>
      </c>
      <c r="D12" s="10" t="s">
        <v>1413</v>
      </c>
      <c r="E12" s="10" t="s">
        <v>1414</v>
      </c>
      <c r="F12" s="7" t="s">
        <v>56</v>
      </c>
      <c r="G12" s="6" t="s">
        <v>1426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1402</v>
      </c>
      <c r="C13" s="10" t="s">
        <v>1415</v>
      </c>
      <c r="D13" s="10" t="s">
        <v>1416</v>
      </c>
      <c r="E13" s="10" t="s">
        <v>1417</v>
      </c>
      <c r="F13" s="7" t="s">
        <v>56</v>
      </c>
      <c r="G13" s="6" t="s">
        <v>1426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1402</v>
      </c>
      <c r="C14" s="10" t="s">
        <v>1418</v>
      </c>
      <c r="D14" s="10" t="s">
        <v>1419</v>
      </c>
      <c r="E14" s="10" t="s">
        <v>1420</v>
      </c>
      <c r="F14" s="7" t="s">
        <v>56</v>
      </c>
      <c r="G14" s="6" t="s">
        <v>1426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1402</v>
      </c>
      <c r="C15" s="10" t="s">
        <v>1421</v>
      </c>
      <c r="D15" s="10" t="s">
        <v>1422</v>
      </c>
      <c r="E15" s="10" t="s">
        <v>1423</v>
      </c>
      <c r="F15" s="7" t="s">
        <v>56</v>
      </c>
      <c r="G15" s="6" t="s">
        <v>1426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1402</v>
      </c>
      <c r="C16" s="10" t="s">
        <v>1448</v>
      </c>
      <c r="D16" s="10" t="s">
        <v>1424</v>
      </c>
      <c r="E16" s="10" t="s">
        <v>1425</v>
      </c>
      <c r="F16" s="7" t="s">
        <v>56</v>
      </c>
      <c r="G16" s="6" t="s">
        <v>1426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1448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