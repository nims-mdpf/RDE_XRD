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wsl$\Ubuntu-24.04\home\rde2\catalog-templates\xrd\docs\requirement_analysis\"/>
    </mc:Choice>
  </mc:AlternateContent>
  <xr:revisionPtr revIDLastSave="0" documentId="13_ncr:1_{89434B8D-961A-405A-8D70-7F9F48516580}" xr6:coauthVersionLast="47" xr6:coauthVersionMax="47" xr10:uidLastSave="{00000000-0000-0000-0000-000000000000}"/>
  <bookViews>
    <workbookView xWindow="225" yWindow="90" windowWidth="26670" windowHeight="15390" firstSheet="2" activeTab="3" xr2:uid="{00000000-000D-0000-FFFF-FFFF00000000}"/>
  </bookViews>
  <sheets>
    <sheet name="要件定義（手入力 メタデータ項目リスト）_bak" sheetId="15" state="hidden" r:id="rId1"/>
    <sheet name="要件定義（構造化 メタデータ項目リスト）_bak" sheetId="10" state="hidden" r:id="rId2"/>
    <sheet name="ファイル命名規則" sheetId="19" r:id="rId3"/>
    <sheet name="要件定義（手入力 メタデータ項目リスト）" sheetId="17" r:id="rId4"/>
    <sheet name="要件定義（構造化 メタデータ項目リスト）" sheetId="18" r:id="rId5"/>
    <sheet name="要件定義（構造化詳細）" sheetId="21" r:id="rId6"/>
    <sheet name="要件定義（設定ファイル）" sheetId="22" r:id="rId7"/>
    <sheet name="改版履歴" sheetId="16" r:id="rId8"/>
  </sheets>
  <externalReferences>
    <externalReference r:id="rId9"/>
    <externalReference r:id="rId10"/>
    <externalReference r:id="rId11"/>
    <externalReference r:id="rId12"/>
    <externalReference r:id="rId13"/>
    <externalReference r:id="rId14"/>
  </externalReferences>
  <definedNames>
    <definedName name="cell" localSheetId="5">[1]Sheet2!$B$2:$B$3</definedName>
    <definedName name="cell">[2]Sheet2!$B$2:$B$3</definedName>
    <definedName name="ComputationalMethods" localSheetId="5">'[3]Computational methods'!$B$3:$B$20</definedName>
    <definedName name="ComputationalMethods">'[4]Computational methods'!$B$3:$B$20</definedName>
    <definedName name="data_origin" localSheetId="5">'[3]data origin'!$B$2:$B$6</definedName>
    <definedName name="data_origin">'[4]data origin'!$B$2:$B$6</definedName>
    <definedName name="DisclosureCategory" localSheetId="5">[3]mandatory_item!$C$54:$C$57</definedName>
    <definedName name="DisclosureCategory">[4]mandatory_item!$C$54:$C$57</definedName>
    <definedName name="measurement_processing_category" localSheetId="5">'[3]Characterization&amp;Process'!$B$27:$AD$27</definedName>
    <definedName name="measurement_processing_category">'[4]Characterization&amp;Process'!$B$27:$AD$27</definedName>
    <definedName name="ProcessingEnvironment" localSheetId="5">'[3]Synthesis and processing'!$F$112:$F$120</definedName>
    <definedName name="ProcessingEnvironment">'[4]Synthesis and processing'!$F$112:$F$120</definedName>
    <definedName name="PropertiesAddressed" localSheetId="5">'[3]Properties addressed'!$I$1:$X$1</definedName>
    <definedName name="PropertiesAddressed">'[4]Properties addressed'!$I$1:$X$1</definedName>
    <definedName name="RDE利用の目的" localSheetId="5">#REF!</definedName>
    <definedName name="RDE利用の目的">#REF!</definedName>
    <definedName name="RDE利用の目的２" localSheetId="5">#REF!</definedName>
    <definedName name="RDE利用の目的２">#REF!</definedName>
    <definedName name="SynthesisProcessing" localSheetId="5">'[3]Synthesis and processing'!$I$1:$T$1</definedName>
    <definedName name="SynthesisProcessing">'[4]Synthesis and processing'!$I$1:$T$1</definedName>
    <definedName name="技術分類" localSheetId="5">'[5]Characterization methods'!$J$24:$Z$24</definedName>
    <definedName name="技術分類">'[6]Characterization methods'!$J$24:$Z$24</definedName>
    <definedName name="計算手法" localSheetId="5">'[3]Computational methods'!$E$3:$E$20</definedName>
    <definedName name="計算手法">'[4]Computational methods'!$E$3:$E$20</definedName>
    <definedName name="計測技術分類" localSheetId="5">'[5]Characterization methods'!$J$24:$Z$24</definedName>
    <definedName name="計測技術分類">'[6]Characterization methods'!$J$24:$Z$24</definedName>
    <definedName name="構造的特徴" localSheetId="5">'[5]Structural features'!$I$25:$Q$25</definedName>
    <definedName name="構造的特徴">'[6]Structural features'!$I$25:$Q$25</definedName>
    <definedName name="合成・プロセス" localSheetId="5">'[3]Synthesis and processing'!$I$22:$T$22</definedName>
    <definedName name="合成・プロセス">'[4]Synthesis and processing'!$I$22:$T$22</definedName>
    <definedName name="処理環境" localSheetId="5">'[3]Synthesis and processing'!$G$112:$G$120</definedName>
    <definedName name="処理環境">'[4]Synthesis and processing'!$G$112:$G$120</definedName>
    <definedName name="測定環境" localSheetId="5">'[5]Characterization methods'!$G$118:$G$126</definedName>
    <definedName name="測定環境">'[6]Characterization methods'!$G$118:$G$126</definedName>
    <definedName name="特徴的性質" localSheetId="5">'[3]Properties addressed'!$I$28:$X$28</definedName>
    <definedName name="特徴的性質">'[4]Properties addressed'!$I$28:$X$28</definedName>
    <definedName name="物質タイプ" localSheetId="5">'[5]Material types'!$J$17:$T$17</definedName>
    <definedName name="物質タイプ">'[6]Material types'!$J$17:$T$17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7" l="1"/>
  <c r="C25" i="17"/>
  <c r="C24" i="17"/>
  <c r="C23" i="17"/>
  <c r="C22" i="17"/>
  <c r="C21" i="17"/>
  <c r="C20" i="17"/>
  <c r="C19" i="17"/>
  <c r="C38" i="17" l="1"/>
  <c r="C39" i="17"/>
  <c r="C45" i="17" l="1"/>
  <c r="C44" i="17"/>
  <c r="C43" i="17"/>
  <c r="C42" i="17"/>
  <c r="C41" i="17"/>
  <c r="C40" i="17"/>
  <c r="C37" i="17"/>
  <c r="C36" i="17"/>
  <c r="C35" i="17"/>
  <c r="C34" i="17"/>
  <c r="C17" i="17"/>
  <c r="C16" i="17"/>
  <c r="C15" i="17"/>
  <c r="C14" i="17"/>
  <c r="C13" i="17"/>
  <c r="C12" i="17"/>
  <c r="C11" i="17"/>
  <c r="C10" i="17"/>
  <c r="C9" i="17"/>
  <c r="C8" i="17"/>
  <c r="C7" i="17"/>
  <c r="C6" i="17"/>
  <c r="C5" i="17"/>
  <c r="C49" i="15"/>
  <c r="C48" i="15"/>
  <c r="C47" i="15"/>
  <c r="C46" i="15"/>
  <c r="C45" i="15"/>
  <c r="C44" i="15"/>
  <c r="C43" i="15"/>
  <c r="C42" i="15"/>
  <c r="C41" i="15"/>
  <c r="C40" i="15"/>
  <c r="C39" i="15"/>
  <c r="C38" i="15"/>
  <c r="C24" i="15"/>
  <c r="C23" i="15"/>
  <c r="C22" i="15"/>
  <c r="C21" i="15"/>
  <c r="C20" i="15"/>
  <c r="C19" i="15"/>
  <c r="C18" i="15"/>
  <c r="C17" i="15" l="1"/>
  <c r="C16" i="15"/>
  <c r="C15" i="15"/>
  <c r="C14" i="15"/>
  <c r="C13" i="15"/>
  <c r="C12" i="15"/>
  <c r="C11" i="15"/>
  <c r="C10" i="15" l="1"/>
  <c r="C9" i="15"/>
  <c r="C8" i="15"/>
  <c r="C7" i="15"/>
  <c r="C6" i="15"/>
  <c r="C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tc={8EC9289B-E89B-C54A-AF5E-A9CAB7783195}</author>
    <author>tc={296B8175-6133-1340-B050-FB33F3C0CC15}</author>
  </authors>
  <commentList>
    <comment ref="F26" authorId="0" shapeId="0" xr:uid="{8EC9289B-E89B-C54A-AF5E-A9CAB77831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「スパイク除去/spike removal」などとするのが良いでしょう。（特異点除去という言葉は物理学上かなり特定の意味を持つ言葉で、今回の処理はそれに当たらないため）
返信:
OKです。</t>
      </text>
    </comment>
    <comment ref="F27" authorId="1" shapeId="0" xr:uid="{296B8175-6133-1340-B050-FB33F3C0CC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「取得」というか、「特出し表示」？　取得でも良いですが、一応議論したく</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tc={AD545E9C-6EAD-7444-868D-1DA9DDED3D54}</author>
    <author>tc={14C21C5E-7A44-AA48-B84A-2B7A0F5A94D8}</author>
    <author>tc={C11FE378-AC52-5844-93E3-10FA1B4B2ECC}</author>
    <author>tc={EFCB1198-F542-704F-9335-CDD4A0F5BC07}</author>
  </authors>
  <commentList>
    <comment ref="L27" authorId="0" shapeId="0" xr:uid="{AD545E9C-6EAD-7444-868D-1DA9DDED3D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数値型に固執させるなら、サンプル幅・サンプル長さ・サンプル厚さの3項目に分ける必要が出てきますか？
返信:
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
      </text>
    </comment>
    <comment ref="F36" authorId="1" shapeId="0" xr:uid="{14C21C5E-7A44-AA48-B84A-2B7A0F5A94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"coercivity" のようなちゃんとした英語名ではなく、記号を英語名扱いで格納するということでいいなら、これでOKです。この下のセルも同様
返信:
確かにそうですね。基本的に略語は使用しない、という原則で考えていますが、磁性分野では常識な語彙なのでOKと考えるか、ということですね。</t>
      </text>
    </comment>
    <comment ref="H37" authorId="2" shapeId="0" xr:uid="{C11FE378-AC52-5844-93E3-10FA1B4B2E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emuは標準単位系ではないので、高橋さん用途には良いとしても、汎用としては別の単位に換算すべきな気がする</t>
      </text>
    </comment>
    <comment ref="F39" authorId="3" shapeId="0" xr:uid="{EFCB1198-F542-704F-9335-CDD4A0F5BC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Br per volume か？
返信:
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
返信:
10/3に
「Bs/体積」
と連絡あり。
返信:
高橋さんのメタは
「残留磁化x膜厚(memu):3.92e-03」
となっており、残留磁化はBrを使用しています。整理必要かもしれません。</t>
      </text>
    </comment>
  </commentList>
</comments>
</file>

<file path=xl/sharedStrings.xml><?xml version="1.0" encoding="utf-8"?>
<sst xmlns="http://schemas.openxmlformats.org/spreadsheetml/2006/main" count="1284" uniqueCount="656">
  <si>
    <t>仕様として固定されている項目</t>
    <rPh sb="0" eb="2">
      <t>シヨウ</t>
    </rPh>
    <rPh sb="5" eb="7">
      <t>コテイ</t>
    </rPh>
    <rPh sb="12" eb="14">
      <t>コウモク</t>
    </rPh>
    <phoneticPr fontId="2"/>
  </si>
  <si>
    <t>rde2name</t>
    <phoneticPr fontId="2"/>
  </si>
  <si>
    <t>ja</t>
    <phoneticPr fontId="2"/>
  </si>
  <si>
    <t>en</t>
    <phoneticPr fontId="2"/>
  </si>
  <si>
    <t>type</t>
    <phoneticPr fontId="2"/>
  </si>
  <si>
    <t>unit</t>
    <phoneticPr fontId="2"/>
  </si>
  <si>
    <t>desc</t>
    <phoneticPr fontId="2"/>
  </si>
  <si>
    <t>value</t>
    <phoneticPr fontId="2"/>
  </si>
  <si>
    <t>RDE2.0 パラメータ名([0-9],[a-z],ドット、ハイフンのみ)
※RDE2.0英語名をlower_snake_case形式にする。
※システム記入欄</t>
    <rPh sb="12" eb="13">
      <t>メイ</t>
    </rPh>
    <rPh sb="45" eb="48">
      <t>エイゴメイ</t>
    </rPh>
    <rPh sb="65" eb="67">
      <t>ケイシキ</t>
    </rPh>
    <rPh sb="77" eb="80">
      <t>キニュウラン</t>
    </rPh>
    <phoneticPr fontId="2"/>
  </si>
  <si>
    <t>必須</t>
    <rPh sb="0" eb="2">
      <t>ヒッス</t>
    </rPh>
    <phoneticPr fontId="2"/>
  </si>
  <si>
    <t>タクソノミー
※階層を数値で記入。</t>
    <rPh sb="8" eb="10">
      <t>カイソウ</t>
    </rPh>
    <rPh sb="11" eb="13">
      <t>スウチ</t>
    </rPh>
    <rPh sb="14" eb="16">
      <t>キニュウ</t>
    </rPh>
    <phoneticPr fontId="2"/>
  </si>
  <si>
    <t>RDE2.0 日本語名</t>
    <rPh sb="7" eb="11">
      <t>ニホンゴメイ</t>
    </rPh>
    <phoneticPr fontId="2"/>
  </si>
  <si>
    <t>RDE2.0 英語名</t>
    <rPh sb="7" eb="10">
      <t>エイゴメイ</t>
    </rPh>
    <phoneticPr fontId="2"/>
  </si>
  <si>
    <t>type
※以下から選択
string/
string[date]/
number</t>
    <phoneticPr fontId="2"/>
  </si>
  <si>
    <t>単位</t>
    <phoneticPr fontId="2"/>
  </si>
  <si>
    <t>説明</t>
    <rPh sb="0" eb="2">
      <t>セツメイ</t>
    </rPh>
    <phoneticPr fontId="2"/>
  </si>
  <si>
    <t xml:space="preserve"> condition_1
※値の例を記入</t>
    <rPh sb="14" eb="15">
      <t>アタイ</t>
    </rPh>
    <rPh sb="16" eb="17">
      <t>レイ</t>
    </rPh>
    <rPh sb="18" eb="20">
      <t>キニュウ</t>
    </rPh>
    <phoneticPr fontId="2"/>
  </si>
  <si>
    <t>基本情報</t>
    <rPh sb="0" eb="4">
      <t>キホンジョウホウ</t>
    </rPh>
    <phoneticPr fontId="2"/>
  </si>
  <si>
    <t>o</t>
    <phoneticPr fontId="2"/>
  </si>
  <si>
    <t>装置</t>
    <rPh sb="0" eb="2">
      <t>ソウチ</t>
    </rPh>
    <phoneticPr fontId="2"/>
  </si>
  <si>
    <t>Instrument</t>
    <phoneticPr fontId="2"/>
  </si>
  <si>
    <t>string</t>
  </si>
  <si>
    <t>データ投入者(所属)</t>
    <phoneticPr fontId="2"/>
  </si>
  <si>
    <t xml:space="preserve">      </t>
    <phoneticPr fontId="2"/>
  </si>
  <si>
    <t>ログインしてる人で固定</t>
    <rPh sb="7" eb="8">
      <t>ヒト</t>
    </rPh>
    <rPh sb="9" eb="11">
      <t>コテイ</t>
    </rPh>
    <phoneticPr fontId="2"/>
  </si>
  <si>
    <t>データ所有者(所属)</t>
    <phoneticPr fontId="2"/>
  </si>
  <si>
    <t>Data Owner (Affiliation)</t>
    <phoneticPr fontId="2"/>
  </si>
  <si>
    <t>string</t>
    <phoneticPr fontId="2"/>
  </si>
  <si>
    <t>研究グループに登録されているメンバー</t>
    <rPh sb="0" eb="2">
      <t>ケンキュウ</t>
    </rPh>
    <rPh sb="7" eb="9">
      <t>トウロク</t>
    </rPh>
    <phoneticPr fontId="2"/>
  </si>
  <si>
    <t>データ名</t>
    <phoneticPr fontId="2"/>
  </si>
  <si>
    <t>Data Name</t>
    <phoneticPr fontId="2"/>
  </si>
  <si>
    <t>※${filename}の場合、登録ファイルをデータ名とする</t>
    <rPh sb="13" eb="15">
      <t>バアイ</t>
    </rPh>
    <rPh sb="16" eb="18">
      <t>トウロク</t>
    </rPh>
    <rPh sb="26" eb="27">
      <t>メイ</t>
    </rPh>
    <phoneticPr fontId="2"/>
  </si>
  <si>
    <t>実験ID</t>
    <phoneticPr fontId="2"/>
  </si>
  <si>
    <t>Experiment ID</t>
    <phoneticPr fontId="2"/>
  </si>
  <si>
    <t>説明</t>
    <phoneticPr fontId="2"/>
  </si>
  <si>
    <t>Description</t>
    <phoneticPr fontId="2"/>
  </si>
  <si>
    <t>sample</t>
    <phoneticPr fontId="2"/>
  </si>
  <si>
    <t>試料情報</t>
    <rPh sb="0" eb="4">
      <t>シリョウジョウホウ</t>
    </rPh>
    <phoneticPr fontId="2"/>
  </si>
  <si>
    <t>o</t>
  </si>
  <si>
    <t>試料名(ローカルID)</t>
  </si>
  <si>
    <t>Sample name (Local ID)</t>
    <phoneticPr fontId="2"/>
  </si>
  <si>
    <t>化学式・組成式・分子式など</t>
  </si>
  <si>
    <t>Chemical formula etc.</t>
  </si>
  <si>
    <t>試料管理者(所属)</t>
    <phoneticPr fontId="2"/>
  </si>
  <si>
    <t>Administrator (Affiliation)</t>
  </si>
  <si>
    <t>参考URL</t>
  </si>
  <si>
    <t>Reference URL</t>
  </si>
  <si>
    <t>関連試料</t>
  </si>
  <si>
    <t>Related samples</t>
  </si>
  <si>
    <t>タグ</t>
  </si>
  <si>
    <t>Tags</t>
  </si>
  <si>
    <t>試料の説明</t>
  </si>
  <si>
    <t xml:space="preserve">Description </t>
  </si>
  <si>
    <t>一般名称</t>
    <rPh sb="0" eb="4">
      <t>イッパンメイショウ</t>
    </rPh>
    <phoneticPr fontId="2"/>
  </si>
  <si>
    <t>General name</t>
  </si>
  <si>
    <t>CAS番号</t>
    <phoneticPr fontId="2"/>
  </si>
  <si>
    <t>CAS Number</t>
  </si>
  <si>
    <t>結晶構造</t>
    <phoneticPr fontId="2"/>
  </si>
  <si>
    <t>Crystal structure</t>
  </si>
  <si>
    <t>試料形状</t>
    <phoneticPr fontId="2"/>
  </si>
  <si>
    <t>Sample shape</t>
  </si>
  <si>
    <t>試料購入日</t>
    <phoneticPr fontId="2"/>
  </si>
  <si>
    <t>Purchase date</t>
  </si>
  <si>
    <t>購入元</t>
    <phoneticPr fontId="2"/>
  </si>
  <si>
    <t>Supplier</t>
  </si>
  <si>
    <t>ロット番号、製造番号など</t>
    <phoneticPr fontId="2"/>
  </si>
  <si>
    <t>Lot number or product number etc</t>
  </si>
  <si>
    <t>固有情報</t>
    <rPh sb="0" eb="4">
      <t>コユウジョウホウ</t>
    </rPh>
    <phoneticPr fontId="2"/>
  </si>
  <si>
    <t>background_removal</t>
    <phoneticPr fontId="2"/>
  </si>
  <si>
    <t>バックグラウンド除去</t>
    <rPh sb="8" eb="10">
      <t>ジョキョ</t>
    </rPh>
    <phoneticPr fontId="2"/>
  </si>
  <si>
    <t>background removal</t>
    <phoneticPr fontId="2"/>
  </si>
  <si>
    <t>integer</t>
  </si>
  <si>
    <t>boolean</t>
    <phoneticPr fontId="2"/>
  </si>
  <si>
    <t>singularity_removal</t>
    <phoneticPr fontId="2"/>
  </si>
  <si>
    <t>スパイク除去</t>
  </si>
  <si>
    <t>spike removal</t>
  </si>
  <si>
    <t>特徴量取得</t>
    <rPh sb="0" eb="5">
      <t>トクチョウリョウシュトク</t>
    </rPh>
    <phoneticPr fontId="2"/>
  </si>
  <si>
    <t>custom</t>
    <phoneticPr fontId="2"/>
  </si>
  <si>
    <t>key1</t>
    <phoneticPr fontId="2"/>
  </si>
  <si>
    <t>キー1</t>
    <phoneticPr fontId="2"/>
  </si>
  <si>
    <t>key2</t>
    <phoneticPr fontId="2"/>
  </si>
  <si>
    <t>キー2</t>
    <phoneticPr fontId="2"/>
  </si>
  <si>
    <t>key3</t>
    <phoneticPr fontId="2"/>
  </si>
  <si>
    <t>キー3</t>
    <phoneticPr fontId="2"/>
  </si>
  <si>
    <t>key4</t>
    <phoneticPr fontId="2"/>
  </si>
  <si>
    <t>キー4</t>
  </si>
  <si>
    <t>key5</t>
    <phoneticPr fontId="2"/>
  </si>
  <si>
    <t>キー5</t>
  </si>
  <si>
    <t>key6</t>
    <phoneticPr fontId="2"/>
  </si>
  <si>
    <t>キー6</t>
    <phoneticPr fontId="2"/>
  </si>
  <si>
    <t>key7</t>
    <phoneticPr fontId="2"/>
  </si>
  <si>
    <t>キー7</t>
    <phoneticPr fontId="2"/>
  </si>
  <si>
    <t>key8</t>
    <phoneticPr fontId="2"/>
  </si>
  <si>
    <t>キー8</t>
    <phoneticPr fontId="2"/>
  </si>
  <si>
    <t>key9</t>
    <phoneticPr fontId="2"/>
  </si>
  <si>
    <t>キー9</t>
    <phoneticPr fontId="2"/>
  </si>
  <si>
    <t>key10</t>
    <phoneticPr fontId="2"/>
  </si>
  <si>
    <t>キー10</t>
    <phoneticPr fontId="2"/>
  </si>
  <si>
    <t>共通メタ</t>
    <rPh sb="0" eb="2">
      <t>キョウツウ</t>
    </rPh>
    <phoneticPr fontId="2"/>
  </si>
  <si>
    <t>登録データタイプ</t>
    <phoneticPr fontId="2"/>
  </si>
  <si>
    <t>Data type</t>
    <phoneticPr fontId="2"/>
  </si>
  <si>
    <t>default値「MPMS」</t>
    <rPh sb="7" eb="8">
      <t>チ</t>
    </rPh>
    <phoneticPr fontId="2"/>
  </si>
  <si>
    <t>データの起源</t>
  </si>
  <si>
    <t>Data Origin</t>
  </si>
  <si>
    <t>default値「experiments」</t>
    <rPh sb="7" eb="8">
      <t>チ</t>
    </rPh>
    <phoneticPr fontId="2"/>
  </si>
  <si>
    <t>技術カテゴリー</t>
  </si>
  <si>
    <t>Technical Category</t>
  </si>
  <si>
    <t>default値「measurement」</t>
    <rPh sb="7" eb="8">
      <t>チ</t>
    </rPh>
    <phoneticPr fontId="2"/>
  </si>
  <si>
    <t>参考文献</t>
  </si>
  <si>
    <t>Reference</t>
  </si>
  <si>
    <t>計測メタ</t>
    <rPh sb="0" eb="2">
      <t>ケイソク</t>
    </rPh>
    <phoneticPr fontId="2"/>
  </si>
  <si>
    <t>計測法カテゴリー</t>
  </si>
  <si>
    <t>Method category</t>
  </si>
  <si>
    <t>default値「磁性」</t>
    <rPh sb="7" eb="8">
      <t>チ</t>
    </rPh>
    <rPh sb="9" eb="11">
      <t>ジセイ</t>
    </rPh>
    <phoneticPr fontId="2"/>
  </si>
  <si>
    <t>計測法サブカテゴリー</t>
  </si>
  <si>
    <t>Method sub-category</t>
  </si>
  <si>
    <t>default値「薄膜」</t>
    <rPh sb="7" eb="8">
      <t>チ</t>
    </rPh>
    <rPh sb="9" eb="11">
      <t>ハクマク</t>
    </rPh>
    <phoneticPr fontId="2"/>
  </si>
  <si>
    <t>※選択肢として[薄膜|バルク]のようにするか？要検討</t>
    <rPh sb="1" eb="4">
      <t>センタクシ</t>
    </rPh>
    <rPh sb="8" eb="10">
      <t>ハクマク</t>
    </rPh>
    <rPh sb="23" eb="26">
      <t>ヨウケントウ</t>
    </rPh>
    <phoneticPr fontId="2"/>
  </si>
  <si>
    <t>分析分野</t>
  </si>
  <si>
    <t>Analysis field</t>
  </si>
  <si>
    <t>default値「構造、微細組織、磁気特性」</t>
    <rPh sb="7" eb="8">
      <t>チ</t>
    </rPh>
    <rPh sb="9" eb="11">
      <t>コウゾウ</t>
    </rPh>
    <rPh sb="12" eb="14">
      <t>ビサイ</t>
    </rPh>
    <rPh sb="14" eb="16">
      <t>ソシキ</t>
    </rPh>
    <rPh sb="17" eb="19">
      <t>ジキ</t>
    </rPh>
    <rPh sb="19" eb="21">
      <t>トクセイ</t>
    </rPh>
    <phoneticPr fontId="2"/>
  </si>
  <si>
    <t>測定環境</t>
  </si>
  <si>
    <t>Measurement environment</t>
  </si>
  <si>
    <t>対象準位_遷移_構造</t>
  </si>
  <si>
    <t>Energy Level_Transition_Structure etc. of interest</t>
  </si>
  <si>
    <t>※FILEOPENTIMEから取得するか？要検討</t>
    <rPh sb="15" eb="17">
      <t>シュトク</t>
    </rPh>
    <rPh sb="21" eb="24">
      <t>ヨウケントウ</t>
    </rPh>
    <phoneticPr fontId="2"/>
  </si>
  <si>
    <t>分析年月日</t>
  </si>
  <si>
    <t>Measured date</t>
  </si>
  <si>
    <t>string[date]</t>
  </si>
  <si>
    <t>標準手順</t>
  </si>
  <si>
    <t>Standardized procedure</t>
  </si>
  <si>
    <t>装置設置場所</t>
  </si>
  <si>
    <t>Instrumentation site</t>
  </si>
  <si>
    <t>category</t>
    <phoneticPr fontId="2"/>
  </si>
  <si>
    <t>instrument</t>
    <phoneticPr fontId="2"/>
  </si>
  <si>
    <t>RDE2.0 パラメータ名([0-9],[a-z],ドット、ハイフンのみ)
※RDE2.0英語名をlower_snake_case形式にする。
※システム記入欄</t>
  </si>
  <si>
    <t>装置出力</t>
    <rPh sb="0" eb="2">
      <t>ソウティ</t>
    </rPh>
    <phoneticPr fontId="2"/>
  </si>
  <si>
    <t>タクソノミー
※階層を
数値で記入。</t>
    <phoneticPr fontId="2"/>
  </si>
  <si>
    <t>RDE2.0 英語名</t>
  </si>
  <si>
    <t>備考</t>
    <rPh sb="0" eb="2">
      <t>ビコウ</t>
    </rPh>
    <phoneticPr fontId="2"/>
  </si>
  <si>
    <t>主要パラメータ</t>
    <rPh sb="0" eb="2">
      <t>シュヨウ</t>
    </rPh>
    <phoneticPr fontId="2"/>
  </si>
  <si>
    <t>appname</t>
  </si>
  <si>
    <t>APPNAME</t>
  </si>
  <si>
    <t>byapp</t>
  </si>
  <si>
    <t>BYAPP</t>
  </si>
  <si>
    <t>coil_serial_number</t>
  </si>
  <si>
    <t>COIL_SERIAL_NUMBER</t>
  </si>
  <si>
    <t>コイルシリアル番号</t>
  </si>
  <si>
    <t>comment</t>
  </si>
  <si>
    <t>COMMENT</t>
  </si>
  <si>
    <t>コメント</t>
  </si>
  <si>
    <t>fieldgroup_dc</t>
  </si>
  <si>
    <t>FIELDGROUP_DC</t>
  </si>
  <si>
    <t>磁場グループ_DC</t>
  </si>
  <si>
    <t>fieldgroup_vsm</t>
  </si>
  <si>
    <t>FIELDGROUP_VSM</t>
  </si>
  <si>
    <t>磁場グループ_VSM</t>
  </si>
  <si>
    <t>fileopentime</t>
  </si>
  <si>
    <t>FILEOPENTIME</t>
  </si>
  <si>
    <t>ファイルを開いた時間</t>
  </si>
  <si>
    <t>moment_units</t>
  </si>
  <si>
    <t>MOMENT_UNITS</t>
  </si>
  <si>
    <t>磁化の単位</t>
  </si>
  <si>
    <t>emu</t>
  </si>
  <si>
    <t>motor_hw_version</t>
  </si>
  <si>
    <t>MOTOR_HW_VERSION</t>
  </si>
  <si>
    <t>モーターハードウエアのバージョン</t>
  </si>
  <si>
    <t>motor_module_name</t>
  </si>
  <si>
    <t>MOTOR_MODULE_NAME</t>
  </si>
  <si>
    <t>モーターモジュールの名前</t>
  </si>
  <si>
    <t>motor_serial_number</t>
  </si>
  <si>
    <t>MOTOR_SERIAL_NUMBER</t>
  </si>
  <si>
    <t>モーターのシリアル番号</t>
  </si>
  <si>
    <t>motor_software_version</t>
  </si>
  <si>
    <t>MOTOR_SOFTWARE_VERSION</t>
  </si>
  <si>
    <t>モーターソフトウエアのバージョン</t>
  </si>
  <si>
    <t>oven_hw_version</t>
  </si>
  <si>
    <t>OVEN_HW_VERSION</t>
  </si>
  <si>
    <t>オーブンハードウエアのバージョン</t>
  </si>
  <si>
    <t>oven_module_name</t>
  </si>
  <si>
    <t>OVEN_MODULE_NAME</t>
  </si>
  <si>
    <t>オーブンモジュールの名前</t>
  </si>
  <si>
    <t>oven_serial_number</t>
  </si>
  <si>
    <t>OVEN_SERIAL_NUMBER</t>
  </si>
  <si>
    <t>オーブンのシリアル番号</t>
  </si>
  <si>
    <t>oven_software_version</t>
  </si>
  <si>
    <t>OVEN_SOFTWARE_VERSION</t>
  </si>
  <si>
    <t>オーブンソフトウエアのバージョン</t>
  </si>
  <si>
    <t>sample_comment</t>
  </si>
  <si>
    <t>SAMPLE_COMMENT</t>
  </si>
  <si>
    <t>サンプルコメント</t>
  </si>
  <si>
    <t>sample_holder</t>
  </si>
  <si>
    <t>SAMPLE_HOLDER</t>
  </si>
  <si>
    <t>サンプルホルダー</t>
  </si>
  <si>
    <t>sample_holder_detail</t>
  </si>
  <si>
    <t>SAMPLE_HOLDER_DETAIL</t>
  </si>
  <si>
    <t>サンプルホルダー詳細</t>
  </si>
  <si>
    <t>sample_mass</t>
  </si>
  <si>
    <t>SAMPLE_MASS</t>
  </si>
  <si>
    <t>サンプル重量</t>
    <phoneticPr fontId="2"/>
  </si>
  <si>
    <t>number</t>
  </si>
  <si>
    <t>mg</t>
  </si>
  <si>
    <t>sample_material</t>
  </si>
  <si>
    <t>SAMPLE_MATERIAL</t>
  </si>
  <si>
    <t>サンプルの材質</t>
  </si>
  <si>
    <t>sample_molecular_weight</t>
  </si>
  <si>
    <t>SAMPLE_MOLECULAR_WEIGHT</t>
  </si>
  <si>
    <t>サンプルのモル量</t>
    <phoneticPr fontId="2"/>
  </si>
  <si>
    <t>sample_offset</t>
  </si>
  <si>
    <t>SAMPLE_OFFSET</t>
  </si>
  <si>
    <t>サンプルオフセット</t>
    <phoneticPr fontId="2"/>
  </si>
  <si>
    <t>※単位あり。参考：https://www.omu.ac.jp/sci/phys-mpms3/assets/%E8%AC%9B%E7%BF%92%E4%BC%9A%E7%94%A8%E3%83%9E%E3%83%8B%E3%83%A5%E3%82%A2%E3%83%AB20190722.pdf</t>
    <rPh sb="1" eb="3">
      <t>タンイ</t>
    </rPh>
    <rPh sb="6" eb="8">
      <t>サンコウ</t>
    </rPh>
    <phoneticPr fontId="2"/>
  </si>
  <si>
    <t>sample_shape</t>
  </si>
  <si>
    <t>SAMPLE_SHAPE</t>
  </si>
  <si>
    <t>サンプル形状</t>
  </si>
  <si>
    <t>sample_size</t>
  </si>
  <si>
    <t>SAMPLE_SIZE</t>
  </si>
  <si>
    <t>サンプルサイズ</t>
    <phoneticPr fontId="2"/>
  </si>
  <si>
    <t>mm^2</t>
  </si>
  <si>
    <t>入力例：2.04*5.39</t>
    <rPh sb="0" eb="2">
      <t>ニュウリョク</t>
    </rPh>
    <rPh sb="2" eb="3">
      <t>レイ</t>
    </rPh>
    <phoneticPr fontId="2"/>
  </si>
  <si>
    <t>※number型なので数値として入れるべき（要検討）</t>
    <rPh sb="7" eb="8">
      <t>ガタ</t>
    </rPh>
    <rPh sb="11" eb="13">
      <t>スウチ</t>
    </rPh>
    <rPh sb="16" eb="17">
      <t>イ</t>
    </rPh>
    <rPh sb="22" eb="25">
      <t>ヨウケントウ</t>
    </rPh>
    <phoneticPr fontId="2"/>
  </si>
  <si>
    <t>sample_volume</t>
  </si>
  <si>
    <t>SAMPLE_VOLUME</t>
  </si>
  <si>
    <t>サンプル体積</t>
    <phoneticPr fontId="2"/>
  </si>
  <si>
    <t>mm^3</t>
  </si>
  <si>
    <t>squid_hw_version</t>
  </si>
  <si>
    <t>SQUID_HW_VERSION</t>
  </si>
  <si>
    <t>SQUIDハードウエアのバージョン</t>
  </si>
  <si>
    <t>squid_module_name</t>
  </si>
  <si>
    <t>SQUID_MODULE_NAME</t>
  </si>
  <si>
    <t>SQUIDモジュール名</t>
  </si>
  <si>
    <t>squid_serial_number</t>
  </si>
  <si>
    <t>SQUID_SERIAL_NUMBER</t>
  </si>
  <si>
    <t>SQUIDシリアル番号</t>
  </si>
  <si>
    <t>squid_software_version</t>
  </si>
  <si>
    <t>SQUID_SOFTWARE_VERSION</t>
  </si>
  <si>
    <t>SQUIDソフトウエアのバージョン</t>
  </si>
  <si>
    <t>startupaxis_x</t>
  </si>
  <si>
    <t>STARTUPAXIS_X</t>
  </si>
  <si>
    <t>測定開始時のX軸</t>
  </si>
  <si>
    <t>startupaxis_y1</t>
  </si>
  <si>
    <t>STARTUPAXIS_Y1</t>
  </si>
  <si>
    <t>測定開始時のY軸</t>
  </si>
  <si>
    <t>time</t>
  </si>
  <si>
    <t>TIME</t>
  </si>
  <si>
    <t>時間</t>
  </si>
  <si>
    <t>hc</t>
  </si>
  <si>
    <t>保磁力</t>
    <phoneticPr fontId="2"/>
  </si>
  <si>
    <t>Hc</t>
  </si>
  <si>
    <t>number</t>
    <phoneticPr fontId="2"/>
  </si>
  <si>
    <t>T</t>
  </si>
  <si>
    <t>値の例：-9.693-03</t>
    <rPh sb="0" eb="1">
      <t>アタイ</t>
    </rPh>
    <rPh sb="2" eb="3">
      <t>レイ</t>
    </rPh>
    <phoneticPr fontId="2"/>
  </si>
  <si>
    <t>br</t>
  </si>
  <si>
    <t>残留磁化</t>
    <rPh sb="0" eb="4">
      <t>ザンリュウジカ</t>
    </rPh>
    <phoneticPr fontId="4"/>
  </si>
  <si>
    <t>Br</t>
  </si>
  <si>
    <t>値の例：1.05e-06</t>
    <phoneticPr fontId="2"/>
  </si>
  <si>
    <t>bs</t>
    <phoneticPr fontId="2"/>
  </si>
  <si>
    <t>磁束密度</t>
    <phoneticPr fontId="2"/>
  </si>
  <si>
    <t>Bs</t>
    <phoneticPr fontId="2"/>
  </si>
  <si>
    <t>値の例：2.47e-05</t>
    <phoneticPr fontId="2"/>
  </si>
  <si>
    <t>残留磁化（体積当たり）</t>
    <rPh sb="0" eb="4">
      <t>ザンリュウジカ</t>
    </rPh>
    <rPh sb="5" eb="8">
      <t>タイセキア</t>
    </rPh>
    <phoneticPr fontId="4"/>
  </si>
  <si>
    <t>?</t>
    <phoneticPr fontId="2"/>
  </si>
  <si>
    <t>計算式：1000*Br/SAMPLE_SIZE</t>
    <rPh sb="0" eb="2">
      <t>ケイサン</t>
    </rPh>
    <rPh sb="2" eb="3">
      <t>シキ</t>
    </rPh>
    <phoneticPr fontId="2"/>
  </si>
  <si>
    <t>条件：SAMPLE_SIZEに値が入っていない場合： 
値を出力しないで正常終了とする。</t>
    <rPh sb="0" eb="2">
      <t>ジョウケン</t>
    </rPh>
    <rPh sb="15" eb="16">
      <t>アタイ</t>
    </rPh>
    <rPh sb="17" eb="18">
      <t>ハイ</t>
    </rPh>
    <rPh sb="23" eb="25">
      <t>バアイ</t>
    </rPh>
    <rPh sb="28" eb="29">
      <t>アタイ</t>
    </rPh>
    <rPh sb="30" eb="32">
      <t>シュツリョク</t>
    </rPh>
    <rPh sb="36" eb="40">
      <t>セイジョウシュウリョウ</t>
    </rPh>
    <phoneticPr fontId="4"/>
  </si>
  <si>
    <t>文書名称：</t>
    <rPh sb="0" eb="2">
      <t>ブンショ</t>
    </rPh>
    <rPh sb="2" eb="4">
      <t>メイショウ</t>
    </rPh>
    <phoneticPr fontId="2"/>
  </si>
  <si>
    <t>※要件定義</t>
    <rPh sb="1" eb="5">
      <t>ヨウケンテイギ</t>
    </rPh>
    <phoneticPr fontId="12"/>
  </si>
  <si>
    <t>日付</t>
    <rPh sb="0" eb="2">
      <t>ヒヅケ</t>
    </rPh>
    <phoneticPr fontId="2"/>
  </si>
  <si>
    <t>作成者</t>
    <rPh sb="0" eb="2">
      <t>サクセイ</t>
    </rPh>
    <rPh sb="2" eb="3">
      <t>シャ</t>
    </rPh>
    <phoneticPr fontId="2"/>
  </si>
  <si>
    <t>シート名</t>
    <phoneticPr fontId="2"/>
  </si>
  <si>
    <t>事由</t>
    <rPh sb="0" eb="2">
      <t>ジユウ</t>
    </rPh>
    <phoneticPr fontId="2"/>
  </si>
  <si>
    <t>特記</t>
    <rPh sb="0" eb="2">
      <t>トッキ</t>
    </rPh>
    <phoneticPr fontId="2"/>
  </si>
  <si>
    <t>新規作成</t>
    <rPh sb="0" eb="4">
      <t>シンキサクセイ</t>
    </rPh>
    <phoneticPr fontId="2"/>
  </si>
  <si>
    <t>キー2</t>
  </si>
  <si>
    <t>key2</t>
  </si>
  <si>
    <t>キー3</t>
  </si>
  <si>
    <t>key3</t>
  </si>
  <si>
    <t>key4</t>
  </si>
  <si>
    <t>key5</t>
  </si>
  <si>
    <t>experiment</t>
    <phoneticPr fontId="2"/>
  </si>
  <si>
    <t>measurement</t>
    <phoneticPr fontId="2"/>
  </si>
  <si>
    <t>ログインしている人で固定</t>
    <rPh sb="8" eb="9">
      <t>ヒト</t>
    </rPh>
    <rPh sb="10" eb="12">
      <t>コテイ</t>
    </rPh>
    <phoneticPr fontId="2"/>
  </si>
  <si>
    <t>手入力</t>
    <rPh sb="0" eb="3">
      <t>テニュウリョク</t>
    </rPh>
    <phoneticPr fontId="2"/>
  </si>
  <si>
    <t>_feature</t>
    <phoneticPr fontId="2"/>
  </si>
  <si>
    <t xml:space="preserve">
登録時に説明欄に転記</t>
    <rPh sb="1" eb="4">
      <t>トウロクジ</t>
    </rPh>
    <rPh sb="5" eb="8">
      <t>セツメイラン</t>
    </rPh>
    <rPh sb="9" eb="11">
      <t>テンキ</t>
    </rPh>
    <phoneticPr fontId="2"/>
  </si>
  <si>
    <t>${filename}</t>
    <phoneticPr fontId="2"/>
  </si>
  <si>
    <t>ファイル名からのメタ情報抽出規則</t>
    <rPh sb="4" eb="5">
      <t>メイ</t>
    </rPh>
    <rPh sb="10" eb="12">
      <t>ジョウホウ</t>
    </rPh>
    <rPh sb="12" eb="14">
      <t>チュウシュツ</t>
    </rPh>
    <rPh sb="14" eb="16">
      <t>キソク</t>
    </rPh>
    <phoneticPr fontId="2"/>
  </si>
  <si>
    <t>FILE_COMMENT</t>
  </si>
  <si>
    <t>FILE_MEMO</t>
  </si>
  <si>
    <t>メモ</t>
  </si>
  <si>
    <t>FILE_OPERATOR</t>
  </si>
  <si>
    <t>測定実施者</t>
  </si>
  <si>
    <t>FILE_SAMPLE</t>
  </si>
  <si>
    <t>試料</t>
  </si>
  <si>
    <t>HW_COUNTER_PIXEL_SIZE</t>
  </si>
  <si>
    <t>検出器ピクセルサイズ</t>
  </si>
  <si>
    <t>HW_COUNTER_SELECT_NAME</t>
  </si>
  <si>
    <t>使用検出器名称</t>
  </si>
  <si>
    <t>HW_XG_TARGET_NAME</t>
  </si>
  <si>
    <t>X線ターゲットの材質</t>
  </si>
  <si>
    <t>HW_XG_WAVE_LENGTH_ALPHA1</t>
  </si>
  <si>
    <t>K_alpha1の波長</t>
  </si>
  <si>
    <t>HW_XG_WAVE_LENGTH_ALPHA2</t>
  </si>
  <si>
    <t>K_alpha2の波長</t>
  </si>
  <si>
    <t>HW_XG_WAVE_LENGTH_BETA</t>
  </si>
  <si>
    <t>K_betaの波長</t>
  </si>
  <si>
    <t>MEAS_COND_OPT_ATTR</t>
  </si>
  <si>
    <t>光学系属性</t>
  </si>
  <si>
    <t>MEAS_COND_XG_CURRENT</t>
  </si>
  <si>
    <t>X線管電流</t>
  </si>
  <si>
    <t>MEAS_COND_XG_VOLTAGE</t>
  </si>
  <si>
    <t>X線管電圧</t>
  </si>
  <si>
    <t>波長タイプ</t>
  </si>
  <si>
    <t>MEAS_DATA_COUNT</t>
  </si>
  <si>
    <t>データ点数</t>
  </si>
  <si>
    <t>MEAS_SCAN_AXIS_X</t>
  </si>
  <si>
    <t>スキャン軸</t>
  </si>
  <si>
    <t>MEAS_SCAN_START_TIME</t>
  </si>
  <si>
    <t>スキャン開始時刻</t>
  </si>
  <si>
    <t>MEAS_SCAN_END_TIME</t>
  </si>
  <si>
    <t>スキャン終了時刻</t>
  </si>
  <si>
    <t>MEAS_SCAN_MODE</t>
  </si>
  <si>
    <t>スキャンモード</t>
  </si>
  <si>
    <t>MEAS_SCAN_SPEED</t>
  </si>
  <si>
    <t>スキャンスピード</t>
  </si>
  <si>
    <t>MEAS_SCAN_STEP</t>
  </si>
  <si>
    <t>MEAS_SCAN_START</t>
  </si>
  <si>
    <t>スキャン開始位置</t>
  </si>
  <si>
    <t>MEAS_SCAN_STOP</t>
  </si>
  <si>
    <t>スキャン終了位置</t>
  </si>
  <si>
    <t>MEAS_SCAN_UNIT_X</t>
  </si>
  <si>
    <t>スキャン軸の単位</t>
  </si>
  <si>
    <t>MEAS_SCAN_UNIT_Y</t>
  </si>
  <si>
    <t>強度の単位</t>
  </si>
  <si>
    <t>MEAS_COND_XG_WAVE_TYPE</t>
  </si>
  <si>
    <t>スキャンステップサイズ</t>
  </si>
  <si>
    <t>Comment</t>
  </si>
  <si>
    <t>Memo</t>
  </si>
  <si>
    <t>Measurement Operator</t>
  </si>
  <si>
    <t>Specimen</t>
  </si>
  <si>
    <t>Selected Detector Name</t>
  </si>
  <si>
    <t>X-ray Target Material</t>
  </si>
  <si>
    <t>K_alpha_1 Wavelength</t>
  </si>
  <si>
    <t>K_alpha_2 Wavelength</t>
  </si>
  <si>
    <t>K_beta Wavelength</t>
  </si>
  <si>
    <t>Optics Attribute</t>
  </si>
  <si>
    <t>X-ray Tube Current</t>
  </si>
  <si>
    <t>X-ray Tube Voltage</t>
  </si>
  <si>
    <t>Wavelength Type</t>
  </si>
  <si>
    <t>Data Point Number</t>
  </si>
  <si>
    <t>Scan Axis</t>
  </si>
  <si>
    <t>Scan Starting Date Time</t>
  </si>
  <si>
    <t>Scan Ending Date Time</t>
  </si>
  <si>
    <t>Scan Mode</t>
  </si>
  <si>
    <t>Scan Speed</t>
  </si>
  <si>
    <t>Scan Starting Position</t>
  </si>
  <si>
    <t>Scan Ending Position</t>
  </si>
  <si>
    <t>Scan Axis Unit</t>
  </si>
  <si>
    <t>Intensity Unit</t>
  </si>
  <si>
    <t>Detector Pixel Size</t>
  </si>
  <si>
    <t>Scan Step Size</t>
  </si>
  <si>
    <t>mm</t>
  </si>
  <si>
    <t>XRD</t>
    <phoneticPr fontId="2"/>
  </si>
  <si>
    <t>散乱_回折</t>
  </si>
  <si>
    <t>X線回折</t>
  </si>
  <si>
    <t>測定温度</t>
    <rPh sb="0" eb="2">
      <t>ソクテイ</t>
    </rPh>
    <rPh sb="2" eb="4">
      <t>オンド</t>
    </rPh>
    <phoneticPr fontId="4"/>
  </si>
  <si>
    <t>Measurement Temperature</t>
  </si>
  <si>
    <t>試料ホルダー名</t>
    <rPh sb="0" eb="2">
      <t>シリョウ</t>
    </rPh>
    <rPh sb="6" eb="7">
      <t>メイ</t>
    </rPh>
    <phoneticPr fontId="4"/>
  </si>
  <si>
    <t>Sample Holder Name</t>
  </si>
  <si>
    <t>C</t>
    <phoneticPr fontId="2"/>
  </si>
  <si>
    <t>measurement_temperature</t>
    <phoneticPr fontId="2"/>
  </si>
  <si>
    <t>sample_holder_name</t>
    <phoneticPr fontId="2"/>
  </si>
  <si>
    <t>main_image_setting</t>
    <phoneticPr fontId="2"/>
  </si>
  <si>
    <t>　</t>
  </si>
  <si>
    <t>必須</t>
  </si>
  <si>
    <t>内容</t>
  </si>
  <si>
    <t>備考</t>
  </si>
  <si>
    <t>入力ファイル</t>
  </si>
  <si>
    <t>出力ファイル（項目）</t>
  </si>
  <si>
    <t>ファイル種別</t>
  </si>
  <si>
    <t>ファイル名</t>
    <phoneticPr fontId="2"/>
  </si>
  <si>
    <t>処理内容</t>
  </si>
  <si>
    <t>出力ファイル</t>
    <phoneticPr fontId="2"/>
  </si>
  <si>
    <t>--</t>
  </si>
  <si>
    <t>metadata.json</t>
    <phoneticPr fontId="2"/>
  </si>
  <si>
    <t>構造化ファイル</t>
    <rPh sb="0" eb="3">
      <t>コウゾウカ</t>
    </rPh>
    <phoneticPr fontId="2"/>
  </si>
  <si>
    <t>代表画像ファイル</t>
    <rPh sb="0" eb="2">
      <t>ダイヒョウ</t>
    </rPh>
    <phoneticPr fontId="2"/>
  </si>
  <si>
    <t>画像ファイル</t>
  </si>
  <si>
    <t xml:space="preserve">
</t>
    <phoneticPr fontId="2"/>
  </si>
  <si>
    <t>Angstrom</t>
  </si>
  <si>
    <t>モード</t>
    <phoneticPr fontId="2"/>
  </si>
  <si>
    <t>ras形式</t>
    <rPh sb="3" eb="5">
      <t>ケイシキ</t>
    </rPh>
    <phoneticPr fontId="2"/>
  </si>
  <si>
    <t>rasx形式</t>
    <rPh sb="4" eb="6">
      <t>ケイシキ</t>
    </rPh>
    <phoneticPr fontId="2"/>
  </si>
  <si>
    <t>rasx.comment</t>
    <phoneticPr fontId="2"/>
  </si>
  <si>
    <t>rasx.memo</t>
    <phoneticPr fontId="2"/>
  </si>
  <si>
    <t>rasx.measurement_operator</t>
    <phoneticPr fontId="2"/>
  </si>
  <si>
    <t>rasx.specimen</t>
    <phoneticPr fontId="2"/>
  </si>
  <si>
    <t>rasx.detector_pixel_size</t>
    <phoneticPr fontId="2"/>
  </si>
  <si>
    <t>rasx.selected_detector_name</t>
    <phoneticPr fontId="2"/>
  </si>
  <si>
    <t>rasx.x-ray_target_material</t>
    <phoneticPr fontId="2"/>
  </si>
  <si>
    <t>rasx.k_alpha_1_wavelength</t>
    <phoneticPr fontId="2"/>
  </si>
  <si>
    <t>rasx.k_alpha_2_wavelength</t>
    <phoneticPr fontId="2"/>
  </si>
  <si>
    <t>rasx.k_beta_wavelength</t>
    <phoneticPr fontId="2"/>
  </si>
  <si>
    <t>rasx.optics_attribute</t>
    <phoneticPr fontId="2"/>
  </si>
  <si>
    <t>rasx.x-ray_tube_current</t>
    <phoneticPr fontId="2"/>
  </si>
  <si>
    <t>rasx.x-ray_tube_voltage</t>
    <phoneticPr fontId="2"/>
  </si>
  <si>
    <t>rasx.wavelength_type</t>
    <phoneticPr fontId="2"/>
  </si>
  <si>
    <t>rasx.data_point_number</t>
    <phoneticPr fontId="2"/>
  </si>
  <si>
    <t>rasx.scan_axis</t>
    <phoneticPr fontId="2"/>
  </si>
  <si>
    <t>rasx.scan_starting_date_time</t>
    <phoneticPr fontId="2"/>
  </si>
  <si>
    <t>rasx.scan_ending_date_time</t>
    <phoneticPr fontId="2"/>
  </si>
  <si>
    <t>rasx.scan_mode</t>
    <phoneticPr fontId="2"/>
  </si>
  <si>
    <t>rasx.scan_speed</t>
    <phoneticPr fontId="2"/>
  </si>
  <si>
    <t>rasx.scan_step_size</t>
    <phoneticPr fontId="2"/>
  </si>
  <si>
    <t>rasx.scan_starting_position</t>
    <phoneticPr fontId="2"/>
  </si>
  <si>
    <t>rasx.scan_ending_position</t>
    <phoneticPr fontId="2"/>
  </si>
  <si>
    <t>rasx.scan_axis_unit</t>
    <phoneticPr fontId="2"/>
  </si>
  <si>
    <t>rasx.intensity_unit</t>
    <phoneticPr fontId="2"/>
  </si>
  <si>
    <t>ras.comment</t>
  </si>
  <si>
    <t>ras.memo</t>
  </si>
  <si>
    <t>ras.measurement_operator</t>
  </si>
  <si>
    <t>ras.specimen</t>
  </si>
  <si>
    <t>ras.detector_pixel_size</t>
  </si>
  <si>
    <t>ras.selected_detector_name</t>
  </si>
  <si>
    <t>ras.x-ray_target_material</t>
  </si>
  <si>
    <t>ras.k_alpha_1_wavelength</t>
  </si>
  <si>
    <t>ras.k_alpha_2_wavelength</t>
  </si>
  <si>
    <t>ras.k_beta_wavelength</t>
  </si>
  <si>
    <t>ras.optics_attribute</t>
  </si>
  <si>
    <t>ras.x-ray_tube_current</t>
  </si>
  <si>
    <t>ras.x-ray_tube_voltage</t>
  </si>
  <si>
    <t>ras.wavelength_type</t>
  </si>
  <si>
    <t>ras.data_point_number</t>
  </si>
  <si>
    <t>ras.scan_axis</t>
  </si>
  <si>
    <t>ras.scan_starting_date_time</t>
  </si>
  <si>
    <t>ras.scan_ending_date_time</t>
  </si>
  <si>
    <t>ras.scan_mode</t>
  </si>
  <si>
    <t>ras.scan_speed</t>
  </si>
  <si>
    <t>ras.scan_step_size</t>
  </si>
  <si>
    <t>ras.scan_starting_position</t>
  </si>
  <si>
    <t>ras.scan_ending_position</t>
  </si>
  <si>
    <t>ras.scan_axis_unit</t>
  </si>
  <si>
    <t>ras.intensity_unit</t>
  </si>
  <si>
    <t>Comment</t>
    <phoneticPr fontId="2"/>
  </si>
  <si>
    <t>Memo</t>
    <phoneticPr fontId="2"/>
  </si>
  <si>
    <t>Operator</t>
    <phoneticPr fontId="2"/>
  </si>
  <si>
    <t>SampleName</t>
    <phoneticPr fontId="2"/>
  </si>
  <si>
    <t>PixelSize</t>
    <phoneticPr fontId="2"/>
  </si>
  <si>
    <t>Detector</t>
    <phoneticPr fontId="2"/>
  </si>
  <si>
    <t>TargetAtomicNumbe</t>
    <phoneticPr fontId="2"/>
  </si>
  <si>
    <t>WavelengthKalpha1</t>
    <phoneticPr fontId="2"/>
  </si>
  <si>
    <t>WavelengthKalpha2</t>
    <phoneticPr fontId="2"/>
  </si>
  <si>
    <t>WavelengthKbeta</t>
    <phoneticPr fontId="2"/>
  </si>
  <si>
    <t>Attribute</t>
    <phoneticPr fontId="2"/>
  </si>
  <si>
    <t>Current</t>
    <phoneticPr fontId="2"/>
  </si>
  <si>
    <t>Voltage</t>
    <phoneticPr fontId="2"/>
  </si>
  <si>
    <t>Wavelength Type</t>
    <phoneticPr fontId="2"/>
  </si>
  <si>
    <t>Data Point Number</t>
    <phoneticPr fontId="2"/>
  </si>
  <si>
    <t>AxisName</t>
    <phoneticPr fontId="2"/>
  </si>
  <si>
    <t>StartTime</t>
    <phoneticPr fontId="2"/>
  </si>
  <si>
    <t>EndTime</t>
  </si>
  <si>
    <t>Speed</t>
    <phoneticPr fontId="2"/>
  </si>
  <si>
    <t>Mode</t>
    <phoneticPr fontId="2"/>
  </si>
  <si>
    <t>Step</t>
    <phoneticPr fontId="2"/>
  </si>
  <si>
    <t>Start</t>
    <phoneticPr fontId="2"/>
  </si>
  <si>
    <t>Stop</t>
    <phoneticPr fontId="2"/>
  </si>
  <si>
    <t>PositionUnit</t>
    <phoneticPr fontId="2"/>
  </si>
  <si>
    <t>IntensityUnit</t>
    <phoneticPr fontId="2"/>
  </si>
  <si>
    <t>参考のため、以下に記載（区切り文字：「_」「 」）</t>
    <rPh sb="0" eb="2">
      <t>サンコウ</t>
    </rPh>
    <rPh sb="6" eb="8">
      <t>イカ</t>
    </rPh>
    <rPh sb="9" eb="11">
      <t>キサイ</t>
    </rPh>
    <rPh sb="12" eb="14">
      <t>クギ</t>
    </rPh>
    <rPh sb="15" eb="17">
      <t>モジ</t>
    </rPh>
    <phoneticPr fontId="2"/>
  </si>
  <si>
    <t>試料分類</t>
    <phoneticPr fontId="2"/>
  </si>
  <si>
    <t>Sample type</t>
    <phoneticPr fontId="2"/>
  </si>
  <si>
    <t>高田</t>
    <rPh sb="0" eb="2">
      <t>タカダ</t>
    </rPh>
    <phoneticPr fontId="2"/>
  </si>
  <si>
    <t>meas_scan_axis_x</t>
    <phoneticPr fontId="2"/>
  </si>
  <si>
    <t>X軸ラベル(名称)</t>
    <phoneticPr fontId="2"/>
  </si>
  <si>
    <t>meas_scan_unit_x</t>
    <phoneticPr fontId="2"/>
  </si>
  <si>
    <t>X軸ラベル(単位)</t>
    <phoneticPr fontId="2"/>
  </si>
  <si>
    <t>meas_scan_axis_y</t>
  </si>
  <si>
    <t>Y軸ラベル(名称)</t>
    <phoneticPr fontId="2"/>
  </si>
  <si>
    <t>meas_scan_unit_y</t>
    <phoneticPr fontId="2"/>
  </si>
  <si>
    <t>Y軸ラベル(単位)</t>
    <phoneticPr fontId="2"/>
  </si>
  <si>
    <t>txt形式</t>
    <rPh sb="3" eb="5">
      <t>ケイシキ</t>
    </rPh>
    <phoneticPr fontId="2"/>
  </si>
  <si>
    <t>txt.comment</t>
    <phoneticPr fontId="2"/>
  </si>
  <si>
    <t>txt.specimen</t>
    <phoneticPr fontId="2"/>
  </si>
  <si>
    <t>txt.selected_detector_name</t>
    <phoneticPr fontId="2"/>
  </si>
  <si>
    <t>txt.x-ray_tube_current</t>
    <phoneticPr fontId="2"/>
  </si>
  <si>
    <t>txt.x-ray_tube_voltage</t>
    <phoneticPr fontId="2"/>
  </si>
  <si>
    <t>txt.scan_axis</t>
  </si>
  <si>
    <t>txt.scan_starting_date_time</t>
  </si>
  <si>
    <t>txt.scan_ending_date_time</t>
    <phoneticPr fontId="2"/>
  </si>
  <si>
    <t>txt.scan_mode</t>
    <phoneticPr fontId="2"/>
  </si>
  <si>
    <t>txt.scan_speed</t>
    <phoneticPr fontId="2"/>
  </si>
  <si>
    <t>txt.scan_step_size</t>
    <phoneticPr fontId="2"/>
  </si>
  <si>
    <t>txt.scan_starting_position</t>
    <phoneticPr fontId="2"/>
  </si>
  <si>
    <t>txt.scan_ending_position</t>
    <phoneticPr fontId="2"/>
  </si>
  <si>
    <t>txt.attachment</t>
    <phoneticPr fontId="2"/>
  </si>
  <si>
    <t>txt.monochromator</t>
    <phoneticPr fontId="2"/>
  </si>
  <si>
    <t>txt.incidentbeampath_divergence_slit_width（angle)</t>
    <phoneticPr fontId="2"/>
  </si>
  <si>
    <t>txt.diffractedbeampath_anti-scatter_slit_width</t>
    <phoneticPr fontId="2"/>
  </si>
  <si>
    <t>txt.diffractedbeampath_receiving_slit_width</t>
    <phoneticPr fontId="2"/>
  </si>
  <si>
    <t>txt.measurement_instrument_name</t>
    <phoneticPr fontId="2"/>
  </si>
  <si>
    <t>Comments</t>
    <phoneticPr fontId="2"/>
  </si>
  <si>
    <t>Sample</t>
    <phoneticPr fontId="2"/>
  </si>
  <si>
    <t>Goniometer</t>
    <phoneticPr fontId="2"/>
  </si>
  <si>
    <t>X-Ray</t>
    <phoneticPr fontId="2"/>
  </si>
  <si>
    <t>ScanningMode</t>
    <phoneticPr fontId="2"/>
  </si>
  <si>
    <t>StopTime</t>
    <phoneticPr fontId="2"/>
  </si>
  <si>
    <t>ScanningType</t>
    <phoneticPr fontId="2"/>
  </si>
  <si>
    <t>Attachment</t>
    <phoneticPr fontId="2"/>
  </si>
  <si>
    <t>Monochromater</t>
    <phoneticPr fontId="2"/>
  </si>
  <si>
    <t>DS</t>
    <phoneticPr fontId="2"/>
  </si>
  <si>
    <t>SS</t>
    <phoneticPr fontId="2"/>
  </si>
  <si>
    <t>RS</t>
    <phoneticPr fontId="2"/>
  </si>
  <si>
    <t>コメント</t>
    <phoneticPr fontId="2"/>
  </si>
  <si>
    <t>試料</t>
    <phoneticPr fontId="2"/>
  </si>
  <si>
    <t>使用検出器名称</t>
    <phoneticPr fontId="2"/>
  </si>
  <si>
    <t>X線管電流</t>
    <phoneticPr fontId="2"/>
  </si>
  <si>
    <t>X線管電圧</t>
    <phoneticPr fontId="2"/>
  </si>
  <si>
    <t>スキャン軸</t>
    <phoneticPr fontId="2"/>
  </si>
  <si>
    <t>スキャン開始時刻</t>
    <phoneticPr fontId="2"/>
  </si>
  <si>
    <t>スキャン終了時刻</t>
    <phoneticPr fontId="2"/>
  </si>
  <si>
    <t>スキャンモード</t>
    <phoneticPr fontId="2"/>
  </si>
  <si>
    <t>スキャンスピード</t>
    <phoneticPr fontId="2"/>
  </si>
  <si>
    <t>スキャンステップサイズ</t>
    <phoneticPr fontId="2"/>
  </si>
  <si>
    <t>スキャン開始位置</t>
    <phoneticPr fontId="2"/>
  </si>
  <si>
    <t>スキャン終了位置</t>
    <phoneticPr fontId="2"/>
  </si>
  <si>
    <t>付属試料台</t>
    <phoneticPr fontId="2"/>
  </si>
  <si>
    <t>分光器</t>
    <phoneticPr fontId="2"/>
  </si>
  <si>
    <t>入射光_発散スリット幅（角度）</t>
    <phoneticPr fontId="2"/>
  </si>
  <si>
    <t>出射光_散乱スリット幅</t>
    <phoneticPr fontId="2"/>
  </si>
  <si>
    <t>出射光_受光スリット幅</t>
    <phoneticPr fontId="2"/>
  </si>
  <si>
    <t>測定装置名</t>
    <phoneticPr fontId="2"/>
  </si>
  <si>
    <t>Specimen</t>
    <phoneticPr fontId="2"/>
  </si>
  <si>
    <t>Selected Detector Name</t>
    <phoneticPr fontId="2"/>
  </si>
  <si>
    <t>X-ray Tube Current</t>
    <phoneticPr fontId="2"/>
  </si>
  <si>
    <t>X-ray Tube Voltage</t>
    <phoneticPr fontId="2"/>
  </si>
  <si>
    <t>Scan Axis</t>
    <phoneticPr fontId="2"/>
  </si>
  <si>
    <t>Scan Starting Date Time</t>
    <phoneticPr fontId="2"/>
  </si>
  <si>
    <t>Scan Ending Date Time</t>
    <phoneticPr fontId="2"/>
  </si>
  <si>
    <t>Scan Mode</t>
    <phoneticPr fontId="2"/>
  </si>
  <si>
    <t>Scan Speed</t>
    <phoneticPr fontId="2"/>
  </si>
  <si>
    <t>Scan Step Size</t>
    <phoneticPr fontId="2"/>
  </si>
  <si>
    <t>Scan Starting Position</t>
    <phoneticPr fontId="2"/>
  </si>
  <si>
    <t>Scan Ending Position</t>
    <phoneticPr fontId="2"/>
  </si>
  <si>
    <t>Monochromator</t>
    <phoneticPr fontId="2"/>
  </si>
  <si>
    <t>incidentBeamPath_divergence slit width（angle)</t>
    <phoneticPr fontId="2"/>
  </si>
  <si>
    <t>diffractedBeamPath_anti-scatter slit width</t>
    <phoneticPr fontId="2"/>
  </si>
  <si>
    <t>diffractedBeamPath_receiving slit width</t>
    <phoneticPr fontId="2"/>
  </si>
  <si>
    <t>Measurement Instrument name</t>
    <phoneticPr fontId="2"/>
  </si>
  <si>
    <t>mA</t>
    <phoneticPr fontId="2"/>
  </si>
  <si>
    <t>kV</t>
    <phoneticPr fontId="2"/>
  </si>
  <si>
    <t>deg/min</t>
    <phoneticPr fontId="2"/>
  </si>
  <si>
    <t>deg</t>
    <phoneticPr fontId="2"/>
  </si>
  <si>
    <t>mm</t>
    <phoneticPr fontId="2"/>
  </si>
  <si>
    <t>要件定義（構造化 メタデータ項目リスト）</t>
    <phoneticPr fontId="2"/>
  </si>
  <si>
    <t>txtフォーマット追加</t>
    <rPh sb="9" eb="11">
      <t>ツイカ</t>
    </rPh>
    <phoneticPr fontId="2"/>
  </si>
  <si>
    <t>uxd形式</t>
    <rPh sb="3" eb="5">
      <t>ケイシキ</t>
    </rPh>
    <phoneticPr fontId="2"/>
  </si>
  <si>
    <t>uxd.comment</t>
    <phoneticPr fontId="2"/>
  </si>
  <si>
    <t>uxd.selected_detector_name</t>
    <phoneticPr fontId="2"/>
  </si>
  <si>
    <t>uxd.x-ray_target_material</t>
    <phoneticPr fontId="2"/>
  </si>
  <si>
    <t>uxd.k_alpha_1_wavelength</t>
    <phoneticPr fontId="2"/>
  </si>
  <si>
    <t>uxd.k_alpha_2_wavelength</t>
    <phoneticPr fontId="2"/>
  </si>
  <si>
    <t>uxd.ratio_k_alpha_2/k_alpha_1</t>
    <phoneticPr fontId="2"/>
  </si>
  <si>
    <t>uxd.x-ray_tube_current</t>
    <phoneticPr fontId="2"/>
  </si>
  <si>
    <t>uxd.x-ray_tube_voltage</t>
    <phoneticPr fontId="2"/>
  </si>
  <si>
    <t>uxd.scan_mode</t>
    <phoneticPr fontId="2"/>
  </si>
  <si>
    <t>uxd.scan_step_size</t>
    <phoneticPr fontId="2"/>
  </si>
  <si>
    <t>uxd.scan_starting_position</t>
    <phoneticPr fontId="2"/>
  </si>
  <si>
    <t>uxd.monochromator</t>
    <phoneticPr fontId="2"/>
  </si>
  <si>
    <t>uxd.aperture_width_of_1d_position_sensitive_detector(deg)</t>
    <phoneticPr fontId="2"/>
  </si>
  <si>
    <t>uxd.measurement_instrument_name</t>
    <phoneticPr fontId="2"/>
  </si>
  <si>
    <t>;content of</t>
    <phoneticPr fontId="2"/>
  </si>
  <si>
    <t>; Goniometer</t>
    <phoneticPr fontId="2"/>
  </si>
  <si>
    <t>使用検出器名称</t>
    <phoneticPr fontId="2"/>
  </si>
  <si>
    <t>Selected Detector Name</t>
    <phoneticPr fontId="2"/>
  </si>
  <si>
    <t>string</t>
    <phoneticPr fontId="2"/>
  </si>
  <si>
    <t>_ANODE</t>
    <phoneticPr fontId="2"/>
  </si>
  <si>
    <t>_WL1</t>
  </si>
  <si>
    <t>_WL2</t>
    <phoneticPr fontId="2"/>
  </si>
  <si>
    <t>_WLRATIO</t>
    <phoneticPr fontId="2"/>
  </si>
  <si>
    <t>K_alpha2/K_alpha1の比率</t>
    <phoneticPr fontId="2"/>
  </si>
  <si>
    <t>Ratio K_Alpha_2/K_Alpha_1</t>
    <phoneticPr fontId="2"/>
  </si>
  <si>
    <t>number</t>
    <phoneticPr fontId="2"/>
  </si>
  <si>
    <t>_MA</t>
    <phoneticPr fontId="2"/>
  </si>
  <si>
    <t>_KV</t>
    <phoneticPr fontId="2"/>
  </si>
  <si>
    <t>_STEPMODE</t>
    <phoneticPr fontId="2"/>
  </si>
  <si>
    <t>_STEPSIZE</t>
    <phoneticPr fontId="2"/>
  </si>
  <si>
    <t>_START</t>
    <phoneticPr fontId="2"/>
  </si>
  <si>
    <t>; Incident beam monochromator</t>
    <phoneticPr fontId="2"/>
  </si>
  <si>
    <t>_V4_PSDAPERTURE</t>
    <phoneticPr fontId="2"/>
  </si>
  <si>
    <t>1次元検出器 開口幅（度）</t>
    <phoneticPr fontId="2"/>
  </si>
  <si>
    <t>Aperture width of 1D Position Sensitive Detector(deg)</t>
    <phoneticPr fontId="2"/>
  </si>
  <si>
    <t>uxdフォーマット追加</t>
    <rPh sb="9" eb="11">
      <t>ツイカ</t>
    </rPh>
    <phoneticPr fontId="2"/>
  </si>
  <si>
    <t>ファイル名</t>
    <rPh sb="4" eb="5">
      <t>メイ</t>
    </rPh>
    <phoneticPr fontId="2"/>
  </si>
  <si>
    <t>文字列 セクション１</t>
    <rPh sb="0" eb="3">
      <t>モジレツ</t>
    </rPh>
    <phoneticPr fontId="2"/>
  </si>
  <si>
    <t>文字列 セクション2</t>
    <rPh sb="0" eb="3">
      <t>モジレツ</t>
    </rPh>
    <phoneticPr fontId="2"/>
  </si>
  <si>
    <t>文字列 セクション3</t>
    <rPh sb="0" eb="3">
      <t>モジレツ</t>
    </rPh>
    <phoneticPr fontId="2"/>
  </si>
  <si>
    <t>xrd</t>
    <phoneticPr fontId="2"/>
  </si>
  <si>
    <t>sto001</t>
    <phoneticPr fontId="2"/>
  </si>
  <si>
    <t>.ras/.rasx</t>
    <phoneticPr fontId="2"/>
  </si>
  <si>
    <t>xrd_sto001.ras</t>
    <phoneticPr fontId="2"/>
  </si>
  <si>
    <t>***</t>
    <phoneticPr fontId="2"/>
  </si>
  <si>
    <t>sample.name</t>
    <phoneticPr fontId="2"/>
  </si>
  <si>
    <t>拡張子</t>
    <rPh sb="0" eb="3">
      <t>カクチョウシ</t>
    </rPh>
    <phoneticPr fontId="2"/>
  </si>
  <si>
    <t>任意</t>
    <rPh sb="0" eb="2">
      <t>ニンイ</t>
    </rPh>
    <phoneticPr fontId="2"/>
  </si>
  <si>
    <t>文字列</t>
    <rPh sb="0" eb="3">
      <t>モジレツ</t>
    </rPh>
    <phoneticPr fontId="2"/>
  </si>
  <si>
    <t>rasx_sto001_2Theta_omega.rasx</t>
    <phoneticPr fontId="2"/>
  </si>
  <si>
    <t>rasx</t>
    <phoneticPr fontId="2"/>
  </si>
  <si>
    <t>sto001</t>
    <phoneticPr fontId="2"/>
  </si>
  <si>
    <t>2Theta_omega</t>
    <phoneticPr fontId="2"/>
  </si>
  <si>
    <t>.ras</t>
    <phoneticPr fontId="2"/>
  </si>
  <si>
    <t>.rasx</t>
    <phoneticPr fontId="2"/>
  </si>
  <si>
    <t>(拡張子: .TXT/.uxdはなし)</t>
    <rPh sb="1" eb="4">
      <t>カクチョウシ</t>
    </rPh>
    <phoneticPr fontId="2"/>
  </si>
  <si>
    <t>${filename}の場合、ファイル名(拡張子を除く)を設定</t>
    <rPh sb="12" eb="14">
      <t>バアイ</t>
    </rPh>
    <rPh sb="19" eb="20">
      <t>メイ</t>
    </rPh>
    <rPh sb="21" eb="24">
      <t>カクチョウシ</t>
    </rPh>
    <rPh sb="25" eb="26">
      <t>ノゾ</t>
    </rPh>
    <rPh sb="29" eb="31">
      <t>セッテイ</t>
    </rPh>
    <phoneticPr fontId="2"/>
  </si>
  <si>
    <t>ファイルの命名規約に基づいて設定</t>
    <rPh sb="5" eb="7">
      <t>メイメイ</t>
    </rPh>
    <rPh sb="7" eb="9">
      <t>キヤク</t>
    </rPh>
    <rPh sb="10" eb="11">
      <t>モト</t>
    </rPh>
    <rPh sb="14" eb="16">
      <t>セッテイ</t>
    </rPh>
    <phoneticPr fontId="2"/>
  </si>
  <si>
    <t>YYYY-MM-DD</t>
    <phoneticPr fontId="2"/>
  </si>
  <si>
    <t>kV</t>
    <phoneticPr fontId="2"/>
  </si>
  <si>
    <t>deg</t>
    <phoneticPr fontId="2"/>
  </si>
  <si>
    <t>階層</t>
    <rPh sb="0" eb="2">
      <t>カイソウ</t>
    </rPh>
    <phoneticPr fontId="2"/>
  </si>
  <si>
    <t>system</t>
  </si>
  <si>
    <t>system</t>
    <phoneticPr fontId="2"/>
  </si>
  <si>
    <t>-</t>
    <phoneticPr fontId="2"/>
  </si>
  <si>
    <t>extended_mode</t>
    <phoneticPr fontId="2"/>
  </si>
  <si>
    <t>magic_variable</t>
    <phoneticPr fontId="2"/>
  </si>
  <si>
    <t>save_thumbnail_image</t>
  </si>
  <si>
    <t>filename_mapping_rule</t>
  </si>
  <si>
    <t>manufacturer</t>
  </si>
  <si>
    <t>動作モード</t>
    <phoneticPr fontId="2"/>
  </si>
  <si>
    <t>マジックネーム</t>
    <phoneticPr fontId="2"/>
  </si>
  <si>
    <t>サムネイル画像保存</t>
    <phoneticPr fontId="2"/>
  </si>
  <si>
    <t>ファイル名マッピング規則</t>
    <phoneticPr fontId="2"/>
  </si>
  <si>
    <t>装置メーカー名</t>
    <phoneticPr fontId="2"/>
  </si>
  <si>
    <t>代表画像のグラフスケール</t>
    <rPh sb="0" eb="2">
      <t>ダイヒョウ</t>
    </rPh>
    <rPh sb="2" eb="4">
      <t>ガゾウ</t>
    </rPh>
    <phoneticPr fontId="2"/>
  </si>
  <si>
    <t>(なし)</t>
    <phoneticPr fontId="2"/>
  </si>
  <si>
    <t>true'</t>
    <phoneticPr fontId="2"/>
  </si>
  <si>
    <t>rigaku' or 'bruker'</t>
    <phoneticPr fontId="2"/>
  </si>
  <si>
    <t>データファイル一括投入時'MultiDataTile'を設定</t>
    <phoneticPr fontId="2"/>
  </si>
  <si>
    <t>ファイル名 = データ名としない場合は'false'に設定</t>
    <phoneticPr fontId="2"/>
  </si>
  <si>
    <t>ファイル名からメタデータの一部を取得しない場合'false'に設定</t>
    <phoneticPr fontId="2"/>
  </si>
  <si>
    <t>メイングラフ画像を対数目盛(Logarithmic Scale)に設定する場合'log'を設定</t>
    <rPh sb="6" eb="8">
      <t>ガゾウ</t>
    </rPh>
    <rPh sb="9" eb="11">
      <t>タイスウ</t>
    </rPh>
    <rPh sb="11" eb="13">
      <t>メモリ</t>
    </rPh>
    <rPh sb="33" eb="35">
      <t>セッテイ</t>
    </rPh>
    <rPh sb="37" eb="39">
      <t>バアイ</t>
    </rPh>
    <rPh sb="45" eb="47">
      <t>セッテイ</t>
    </rPh>
    <phoneticPr fontId="2"/>
  </si>
  <si>
    <t>空白の場合、'Intensity'を設定</t>
    <rPh sb="0" eb="2">
      <t>クウハク</t>
    </rPh>
    <rPh sb="3" eb="5">
      <t>バアイ</t>
    </rPh>
    <rPh sb="18" eb="20">
      <t>セッテイ</t>
    </rPh>
    <phoneticPr fontId="2"/>
  </si>
  <si>
    <t>空白の場合、メタデータの'スキャン軸'の値を設定
(.ras: MEAS_SCAN_AXIS_X  
 .rasx: AxisName  
 .TXT: ScanningMode  
 .uxd: プロット画像元データ(*.csv)のヘッダー)</t>
    <rPh sb="0" eb="2">
      <t>クウハク</t>
    </rPh>
    <rPh sb="3" eb="5">
      <t>バアイ</t>
    </rPh>
    <rPh sb="17" eb="18">
      <t>ジク</t>
    </rPh>
    <rPh sb="20" eb="21">
      <t>アタイ</t>
    </rPh>
    <rPh sb="22" eb="24">
      <t>セッテイ</t>
    </rPh>
    <phoneticPr fontId="2"/>
  </si>
  <si>
    <t>空白の場合、メタデータの'スキャン軸の単位'の値を設定
(.ras: MEAS_SCAN_UNIT_X
 .rasx: PositionUnit
 .TXT: (なし)
 .uxd: (なし))</t>
    <rPh sb="0" eb="2">
      <t>クウハク</t>
    </rPh>
    <rPh sb="3" eb="5">
      <t>バアイ</t>
    </rPh>
    <rPh sb="17" eb="18">
      <t>ジク</t>
    </rPh>
    <rPh sb="19" eb="21">
      <t>タンイ</t>
    </rPh>
    <rPh sb="23" eb="24">
      <t>アタイ</t>
    </rPh>
    <rPh sb="25" eb="27">
      <t>セッテイ</t>
    </rPh>
    <phoneticPr fontId="2"/>
  </si>
  <si>
    <t>空白の場合、メタデータの'強度の単位'の値を設定
(.ras: MEAS_SCAN_UNIT_Y
 .rasx: IntensityUnit
 .TXT: (なし)
 .uxd: (なし))</t>
    <rPh sb="0" eb="2">
      <t>クウハク</t>
    </rPh>
    <rPh sb="3" eb="5">
      <t>バアイ</t>
    </rPh>
    <rPh sb="13" eb="15">
      <t>キョウド</t>
    </rPh>
    <rPh sb="16" eb="18">
      <t>タンイ</t>
    </rPh>
    <rPh sb="20" eb="21">
      <t>アタイ</t>
    </rPh>
    <rPh sb="22" eb="24">
      <t>セッテイ</t>
    </rPh>
    <phoneticPr fontId="2"/>
  </si>
  <si>
    <t>.ras, .rasx, .TXT, .uxdファイル</t>
    <phoneticPr fontId="2"/>
  </si>
  <si>
    <t>データファイル</t>
    <phoneticPr fontId="2"/>
  </si>
  <si>
    <t>メタデータファイル</t>
    <phoneticPr fontId="2"/>
  </si>
  <si>
    <t>(例) xrd_sto001.ras</t>
    <phoneticPr fontId="2"/>
  </si>
  <si>
    <t>xrd_sto001.csv</t>
    <phoneticPr fontId="2"/>
  </si>
  <si>
    <t>ラベル:  構造化ファイルのヘッダー部に基づいて出力
グラフ:  構造化ファイルのデータ部に基づいて出力
タイトル:  入力ファイル名(拡張子を除く)
メモリ:  代表画像の設定（linear/log）によって選択。logの場合ファイル名に_logが付与される。</t>
    <rPh sb="6" eb="9">
      <t>コウゾウカ</t>
    </rPh>
    <rPh sb="18" eb="19">
      <t>ブ</t>
    </rPh>
    <rPh sb="20" eb="21">
      <t>モト</t>
    </rPh>
    <rPh sb="24" eb="26">
      <t>シュツリョク</t>
    </rPh>
    <rPh sb="44" eb="45">
      <t>ブ</t>
    </rPh>
    <rPh sb="68" eb="71">
      <t>カクチョウシ</t>
    </rPh>
    <rPh sb="72" eb="73">
      <t>ノゾ</t>
    </rPh>
    <rPh sb="112" eb="114">
      <t>バアイ</t>
    </rPh>
    <rPh sb="118" eb="119">
      <t>メイ</t>
    </rPh>
    <rPh sb="125" eb="127">
      <t>フヨ</t>
    </rPh>
    <phoneticPr fontId="2"/>
  </si>
  <si>
    <t>ヘッダー部:  要件定義(設定ファイル)に基づいて設定
データ部:
    x軸:  データファイルのデータ部の1列目
    y軸: 
        .ras, .rasx:  データファイルのデータ部の2列目 * 3列目
        .TXT, .uxd:  データファイルのデータ部の2列目</t>
    <rPh sb="8" eb="12">
      <t>ヨウケンテイギ</t>
    </rPh>
    <rPh sb="13" eb="15">
      <t>セッテイ</t>
    </rPh>
    <rPh sb="21" eb="22">
      <t>モト</t>
    </rPh>
    <rPh sb="25" eb="27">
      <t>セッテイ</t>
    </rPh>
    <rPh sb="31" eb="32">
      <t>ブ</t>
    </rPh>
    <rPh sb="39" eb="40">
      <t>ジク</t>
    </rPh>
    <rPh sb="54" eb="55">
      <t>ブ</t>
    </rPh>
    <rPh sb="57" eb="58">
      <t>レツ</t>
    </rPh>
    <rPh sb="58" eb="59">
      <t>メ</t>
    </rPh>
    <rPh sb="65" eb="66">
      <t>ジク</t>
    </rPh>
    <phoneticPr fontId="2"/>
  </si>
  <si>
    <t>xrd_sto001_log.png</t>
    <phoneticPr fontId="2"/>
  </si>
  <si>
    <t>xrd_sto001.html</t>
    <phoneticPr fontId="2"/>
  </si>
  <si>
    <t>scanning_mode_if_not_exist</t>
    <phoneticPr fontId="2"/>
  </si>
  <si>
    <t>スキャンモード (ファイルに設定がない場合)</t>
    <phoneticPr fontId="2"/>
  </si>
  <si>
    <t>Scanning mode (If not exist)</t>
    <phoneticPr fontId="2"/>
  </si>
  <si>
    <t>2Theta-Theta</t>
    <phoneticPr fontId="2"/>
  </si>
  <si>
    <t>ファイルのメタデータの'スキャン開始位置'を設定
(.ras: MEAS_SCAN_START_TIME
 .rasx: rasx.scan_starting_date_time
 .TXT: StartTime
 .uxd: _DATEMEASURED)</t>
    <rPh sb="16" eb="18">
      <t>カイシ</t>
    </rPh>
    <rPh sb="18" eb="20">
      <t>イチ</t>
    </rPh>
    <rPh sb="22" eb="24">
      <t>セッテイ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</si>
</sst>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E+00"/>
  </numFmts>
  <fonts count="25">
    <font>
      <sz val="11"/>
      <color theme="1"/>
      <name val="Yu Gothic"/>
      <family val="2"/>
      <scheme val="minor"/>
    </font>
    <font>
      <sz val="11"/>
      <color theme="1"/>
      <name val="Yu Gothic"/>
      <family val="2"/>
      <charset val="128"/>
      <scheme val="minor"/>
    </font>
    <font>
      <sz val="6"/>
      <name val="Yu Gothic"/>
      <family val="3"/>
      <charset val="128"/>
      <scheme val="minor"/>
    </font>
    <font>
      <sz val="11"/>
      <color rgb="FF000000"/>
      <name val="ＭＳ Ｐゴシック"/>
      <family val="3"/>
      <charset val="128"/>
    </font>
    <font>
      <b/>
      <sz val="11"/>
      <color theme="1"/>
      <name val="Yu Gothic"/>
      <family val="3"/>
      <charset val="128"/>
      <scheme val="minor"/>
    </font>
    <font>
      <sz val="11"/>
      <color rgb="FF000000"/>
      <name val="Yu Gothic"/>
      <family val="3"/>
      <charset val="128"/>
      <scheme val="minor"/>
    </font>
    <font>
      <sz val="11"/>
      <color theme="1"/>
      <name val="Yu Gothic"/>
      <family val="3"/>
      <charset val="128"/>
      <scheme val="minor"/>
    </font>
    <font>
      <sz val="11"/>
      <color rgb="FFFF0000"/>
      <name val="Yu Gothic"/>
      <family val="3"/>
      <charset val="128"/>
      <scheme val="minor"/>
    </font>
    <font>
      <sz val="12"/>
      <name val="Yu Gothic"/>
      <family val="3"/>
      <charset val="128"/>
      <scheme val="minor"/>
    </font>
    <font>
      <sz val="12"/>
      <color rgb="FF24292E"/>
      <name val="Yu Gothic"/>
      <family val="3"/>
      <charset val="128"/>
      <scheme val="minor"/>
    </font>
    <font>
      <sz val="11"/>
      <name val="Yu Gothic"/>
      <family val="3"/>
      <charset val="128"/>
      <scheme val="minor"/>
    </font>
    <font>
      <sz val="14"/>
      <color theme="1"/>
      <name val="游明朝"/>
      <family val="1"/>
      <charset val="128"/>
    </font>
    <font>
      <sz val="6"/>
      <name val="Yu Gothic"/>
      <family val="2"/>
      <charset val="128"/>
      <scheme val="minor"/>
    </font>
    <font>
      <sz val="11"/>
      <color theme="1"/>
      <name val="游明朝"/>
      <family val="1"/>
      <charset val="128"/>
    </font>
    <font>
      <sz val="11"/>
      <color theme="0"/>
      <name val="游明朝"/>
      <family val="1"/>
      <charset val="128"/>
    </font>
    <font>
      <sz val="10"/>
      <color theme="1"/>
      <name val="游明朝"/>
      <family val="1"/>
      <charset val="128"/>
    </font>
    <font>
      <sz val="11"/>
      <color theme="1"/>
      <name val="游ゴシック"/>
      <family val="3"/>
      <charset val="128"/>
    </font>
    <font>
      <b/>
      <sz val="12"/>
      <color rgb="FFFFFFFF"/>
      <name val="Yu Gothic"/>
      <family val="3"/>
      <charset val="128"/>
    </font>
    <font>
      <b/>
      <sz val="11"/>
      <color rgb="FFFFFFFF"/>
      <name val="Yu Gothic"/>
      <family val="3"/>
      <charset val="128"/>
    </font>
    <font>
      <sz val="11"/>
      <color rgb="FF000000"/>
      <name val="Yu Gothic"/>
      <family val="3"/>
      <charset val="128"/>
    </font>
    <font>
      <sz val="10"/>
      <color rgb="FFFF0000"/>
      <name val="Yu Gothic"/>
      <family val="3"/>
      <charset val="128"/>
    </font>
    <font>
      <b/>
      <sz val="11"/>
      <color rgb="FF000000"/>
      <name val="Yu Gothic"/>
      <family val="3"/>
      <charset val="128"/>
    </font>
    <font>
      <sz val="11"/>
      <color rgb="FFFF0000"/>
      <name val="Yu Gothic"/>
      <family val="3"/>
      <charset val="128"/>
    </font>
    <font>
      <sz val="11"/>
      <name val="Yu Gothic"/>
      <family val="3"/>
      <charset val="128"/>
    </font>
    <font>
      <sz val="12"/>
      <color theme="1"/>
      <name val="Yu Gothic"/>
      <family val="3"/>
      <charset val="128"/>
      <scheme val="minor"/>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167F92"/>
        <bgColor rgb="FF5B9BD5"/>
      </patternFill>
    </fill>
    <fill>
      <patternFill patternType="solid">
        <fgColor rgb="FF6DB2BF"/>
        <bgColor rgb="FFDDEBF7"/>
      </patternFill>
    </fill>
    <fill>
      <patternFill patternType="solid">
        <fgColor rgb="FFE2F0F3"/>
        <bgColor rgb="FFDDEBF7"/>
      </patternFill>
    </fill>
    <fill>
      <patternFill patternType="solid">
        <fgColor rgb="FF6DB2BF"/>
        <bgColor rgb="FF000000"/>
      </patternFill>
    </fill>
    <fill>
      <patternFill patternType="solid">
        <fgColor rgb="FF9CCBD4"/>
        <bgColor rgb="FF000000"/>
      </patternFill>
    </fill>
    <fill>
      <patternFill patternType="solid">
        <fgColor rgb="FFE2F0F3"/>
        <bgColor rgb="FF000000"/>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medium">
        <color indexed="64"/>
      </left>
      <right style="medium">
        <color indexed="64"/>
      </right>
      <top style="thin">
        <color indexed="64"/>
      </top>
      <bottom style="thin">
        <color indexed="64"/>
      </bottom>
      <diagonal/>
    </border>
  </borders>
  <cellStyleXfs count="3">
    <xf numFmtId="0" fontId="0" fillId="0" borderId="0"/>
    <xf numFmtId="0" fontId="1" fillId="0" borderId="0">
      <alignment vertical="center"/>
    </xf>
    <xf numFmtId="0" fontId="3" fillId="0" borderId="0"/>
  </cellStyleXfs>
  <cellXfs count="182">
    <xf numFmtId="0" fontId="0" fillId="0" borderId="0" xfId="0"/>
    <xf numFmtId="0" fontId="4" fillId="0" borderId="1" xfId="0" applyFont="1" applyBorder="1"/>
    <xf numFmtId="49" fontId="5" fillId="0" borderId="14" xfId="0" applyNumberFormat="1" applyFont="1" applyBorder="1" applyAlignment="1">
      <alignment horizontal="left"/>
    </xf>
    <xf numFmtId="0" fontId="6" fillId="0" borderId="0" xfId="0" applyFont="1"/>
    <xf numFmtId="0" fontId="6" fillId="3" borderId="0" xfId="0" applyFont="1" applyFill="1"/>
    <xf numFmtId="0" fontId="6" fillId="0" borderId="0" xfId="0" applyFont="1" applyAlignment="1">
      <alignment horizontal="center"/>
    </xf>
    <xf numFmtId="0" fontId="6" fillId="0" borderId="0" xfId="0" applyFont="1" applyAlignment="1">
      <alignment wrapText="1"/>
    </xf>
    <xf numFmtId="0" fontId="5" fillId="4" borderId="18" xfId="0" applyFont="1" applyFill="1" applyBorder="1" applyAlignment="1">
      <alignment wrapText="1"/>
    </xf>
    <xf numFmtId="0" fontId="5" fillId="4" borderId="19" xfId="0" applyFont="1" applyFill="1" applyBorder="1" applyAlignment="1">
      <alignment horizontal="center" wrapText="1"/>
    </xf>
    <xf numFmtId="0" fontId="5" fillId="4" borderId="19" xfId="0" applyFont="1" applyFill="1" applyBorder="1"/>
    <xf numFmtId="0" fontId="5" fillId="4" borderId="19" xfId="0" applyFont="1" applyFill="1" applyBorder="1" applyAlignment="1">
      <alignment wrapText="1"/>
    </xf>
    <xf numFmtId="0" fontId="6" fillId="4" borderId="19" xfId="0" applyFont="1" applyFill="1" applyBorder="1"/>
    <xf numFmtId="49" fontId="6" fillId="4" borderId="20" xfId="0" applyNumberFormat="1" applyFont="1" applyFill="1" applyBorder="1" applyAlignment="1">
      <alignment horizontal="left" wrapText="1"/>
    </xf>
    <xf numFmtId="0" fontId="5" fillId="0" borderId="7" xfId="0" applyFont="1" applyBorder="1"/>
    <xf numFmtId="0" fontId="5" fillId="0" borderId="7" xfId="0" applyFont="1" applyBorder="1" applyAlignment="1">
      <alignment horizontal="center"/>
    </xf>
    <xf numFmtId="0" fontId="6" fillId="0" borderId="7" xfId="0" applyFont="1" applyBorder="1"/>
    <xf numFmtId="49" fontId="6" fillId="0" borderId="8" xfId="0" applyNumberFormat="1" applyFont="1" applyBorder="1" applyAlignment="1">
      <alignment horizontal="left"/>
    </xf>
    <xf numFmtId="0" fontId="5" fillId="5" borderId="1" xfId="0" applyFont="1" applyFill="1" applyBorder="1"/>
    <xf numFmtId="0" fontId="5" fillId="5" borderId="1" xfId="0" applyFont="1" applyFill="1" applyBorder="1" applyAlignment="1">
      <alignment horizontal="center"/>
    </xf>
    <xf numFmtId="0" fontId="6" fillId="5" borderId="1" xfId="0" applyFont="1" applyFill="1" applyBorder="1"/>
    <xf numFmtId="49" fontId="6" fillId="5" borderId="10" xfId="0" applyNumberFormat="1" applyFont="1" applyFill="1" applyBorder="1" applyAlignment="1">
      <alignment horizontal="left"/>
    </xf>
    <xf numFmtId="0" fontId="5" fillId="0" borderId="1" xfId="0" applyFont="1" applyBorder="1"/>
    <xf numFmtId="0" fontId="5" fillId="0" borderId="1" xfId="0" applyFont="1" applyBorder="1" applyAlignment="1">
      <alignment horizontal="center"/>
    </xf>
    <xf numFmtId="0" fontId="6" fillId="0" borderId="1" xfId="0" applyFont="1" applyBorder="1"/>
    <xf numFmtId="49" fontId="6" fillId="0" borderId="10" xfId="0" applyNumberFormat="1" applyFont="1" applyBorder="1" applyAlignment="1">
      <alignment horizontal="left"/>
    </xf>
    <xf numFmtId="0" fontId="5" fillId="0" borderId="13" xfId="0" applyFont="1" applyBorder="1"/>
    <xf numFmtId="0" fontId="5" fillId="0" borderId="13" xfId="0" applyFont="1" applyBorder="1" applyAlignment="1">
      <alignment horizontal="center"/>
    </xf>
    <xf numFmtId="0" fontId="6" fillId="0" borderId="13" xfId="0" applyFont="1" applyBorder="1"/>
    <xf numFmtId="49" fontId="6" fillId="0" borderId="14" xfId="0" applyNumberFormat="1" applyFont="1" applyBorder="1" applyAlignment="1">
      <alignment horizontal="left"/>
    </xf>
    <xf numFmtId="0" fontId="5" fillId="0" borderId="7" xfId="2" applyFont="1" applyBorder="1"/>
    <xf numFmtId="0" fontId="6" fillId="0" borderId="8" xfId="0" applyFont="1" applyBorder="1"/>
    <xf numFmtId="0" fontId="6" fillId="0" borderId="1" xfId="0" applyFont="1" applyBorder="1" applyAlignment="1">
      <alignment horizontal="center"/>
    </xf>
    <xf numFmtId="0" fontId="5" fillId="0" borderId="1" xfId="2" applyFont="1" applyBorder="1"/>
    <xf numFmtId="0" fontId="6" fillId="0" borderId="10" xfId="0" applyFont="1" applyBorder="1"/>
    <xf numFmtId="0" fontId="6" fillId="0" borderId="13" xfId="0" applyFont="1" applyBorder="1" applyAlignment="1">
      <alignment horizontal="center"/>
    </xf>
    <xf numFmtId="0" fontId="5" fillId="0" borderId="13" xfId="2" applyFont="1" applyBorder="1"/>
    <xf numFmtId="0" fontId="6" fillId="0" borderId="14" xfId="0" applyFont="1" applyBorder="1"/>
    <xf numFmtId="0" fontId="7" fillId="0" borderId="0" xfId="0" applyFont="1"/>
    <xf numFmtId="0" fontId="6" fillId="0" borderId="2" xfId="0" applyFont="1" applyBorder="1"/>
    <xf numFmtId="0" fontId="5" fillId="0" borderId="2" xfId="0" applyFont="1" applyBorder="1"/>
    <xf numFmtId="0" fontId="5" fillId="0" borderId="2" xfId="0" applyFont="1" applyBorder="1" applyAlignment="1">
      <alignment horizontal="center"/>
    </xf>
    <xf numFmtId="49" fontId="6" fillId="0" borderId="22" xfId="0" applyNumberFormat="1" applyFont="1" applyBorder="1" applyAlignment="1">
      <alignment horizontal="left"/>
    </xf>
    <xf numFmtId="0" fontId="8" fillId="0" borderId="0" xfId="0" applyFont="1"/>
    <xf numFmtId="0" fontId="5" fillId="4" borderId="1" xfId="0" applyFont="1" applyFill="1" applyBorder="1" applyAlignment="1">
      <alignment wrapText="1"/>
    </xf>
    <xf numFmtId="0" fontId="5" fillId="4" borderId="1" xfId="0" applyFont="1" applyFill="1" applyBorder="1"/>
    <xf numFmtId="0" fontId="6" fillId="4" borderId="1" xfId="0" applyFont="1" applyFill="1" applyBorder="1"/>
    <xf numFmtId="49" fontId="6" fillId="4" borderId="1" xfId="0" applyNumberFormat="1" applyFont="1" applyFill="1" applyBorder="1" applyAlignment="1">
      <alignment horizontal="left" wrapText="1"/>
    </xf>
    <xf numFmtId="0" fontId="6" fillId="4" borderId="1" xfId="0" applyFont="1" applyFill="1" applyBorder="1" applyAlignment="1">
      <alignment wrapText="1"/>
    </xf>
    <xf numFmtId="0" fontId="9" fillId="0" borderId="1" xfId="0" applyFont="1" applyBorder="1" applyAlignment="1">
      <alignment horizontal="left" vertical="center"/>
    </xf>
    <xf numFmtId="0" fontId="10" fillId="0" borderId="1" xfId="0" applyFont="1" applyBorder="1"/>
    <xf numFmtId="49" fontId="6" fillId="0" borderId="1" xfId="0" applyNumberFormat="1" applyFont="1" applyBorder="1" applyAlignment="1">
      <alignment horizontal="left"/>
    </xf>
    <xf numFmtId="0" fontId="10" fillId="0" borderId="4" xfId="2" applyFont="1" applyBorder="1"/>
    <xf numFmtId="0" fontId="6" fillId="0" borderId="4" xfId="0" applyFont="1" applyBorder="1"/>
    <xf numFmtId="49" fontId="6" fillId="0" borderId="4" xfId="0" applyNumberFormat="1" applyFont="1" applyBorder="1" applyAlignment="1">
      <alignment horizontal="left"/>
    </xf>
    <xf numFmtId="0" fontId="9" fillId="0" borderId="4" xfId="0" applyFont="1" applyBorder="1" applyAlignment="1">
      <alignment horizontal="left" vertical="center"/>
    </xf>
    <xf numFmtId="0" fontId="5" fillId="0" borderId="4" xfId="0" quotePrefix="1" applyFont="1" applyBorder="1"/>
    <xf numFmtId="0" fontId="5" fillId="0" borderId="4" xfId="0" applyFont="1" applyBorder="1"/>
    <xf numFmtId="0" fontId="5" fillId="0" borderId="4" xfId="2" applyFont="1" applyBorder="1"/>
    <xf numFmtId="0" fontId="5" fillId="0" borderId="1" xfId="0" quotePrefix="1" applyFont="1" applyBorder="1"/>
    <xf numFmtId="0" fontId="10" fillId="0" borderId="1" xfId="2" applyFont="1" applyBorder="1"/>
    <xf numFmtId="0" fontId="6" fillId="0" borderId="1" xfId="2" applyFont="1" applyBorder="1"/>
    <xf numFmtId="0" fontId="5" fillId="2" borderId="1" xfId="0" applyFont="1" applyFill="1" applyBorder="1"/>
    <xf numFmtId="0" fontId="11" fillId="2" borderId="0" xfId="1" applyFont="1" applyFill="1">
      <alignment vertical="center"/>
    </xf>
    <xf numFmtId="0" fontId="11" fillId="2" borderId="0" xfId="1" applyFont="1" applyFill="1" applyAlignment="1">
      <alignment vertical="center" wrapText="1"/>
    </xf>
    <xf numFmtId="0" fontId="13" fillId="2" borderId="0" xfId="1" applyFont="1" applyFill="1">
      <alignment vertical="center"/>
    </xf>
    <xf numFmtId="0" fontId="13" fillId="2" borderId="0" xfId="1" applyFont="1" applyFill="1" applyAlignment="1">
      <alignment vertical="center" wrapText="1"/>
    </xf>
    <xf numFmtId="0" fontId="14" fillId="6" borderId="1" xfId="1" applyFont="1" applyFill="1" applyBorder="1">
      <alignment vertical="center"/>
    </xf>
    <xf numFmtId="0" fontId="14" fillId="6" borderId="1" xfId="1" applyFont="1" applyFill="1" applyBorder="1" applyAlignment="1">
      <alignment vertical="center" wrapText="1"/>
    </xf>
    <xf numFmtId="14" fontId="13" fillId="2" borderId="1" xfId="1" quotePrefix="1" applyNumberFormat="1" applyFont="1" applyFill="1" applyBorder="1">
      <alignment vertical="center"/>
    </xf>
    <xf numFmtId="0" fontId="13" fillId="2" borderId="1" xfId="1" applyFont="1" applyFill="1" applyBorder="1">
      <alignment vertical="center"/>
    </xf>
    <xf numFmtId="0" fontId="13" fillId="2" borderId="1" xfId="1" applyFont="1" applyFill="1" applyBorder="1" applyAlignment="1">
      <alignment vertical="center" wrapText="1"/>
    </xf>
    <xf numFmtId="0" fontId="13" fillId="2" borderId="1" xfId="1" quotePrefix="1" applyFont="1" applyFill="1" applyBorder="1">
      <alignment vertical="center"/>
    </xf>
    <xf numFmtId="14" fontId="13" fillId="2" borderId="1" xfId="1" quotePrefix="1" applyNumberFormat="1" applyFont="1" applyFill="1" applyBorder="1" applyAlignment="1">
      <alignment horizontal="right" vertical="center"/>
    </xf>
    <xf numFmtId="0" fontId="13" fillId="2" borderId="1" xfId="1" quotePrefix="1" applyFont="1" applyFill="1" applyBorder="1" applyAlignment="1">
      <alignment vertical="center" wrapText="1"/>
    </xf>
    <xf numFmtId="0" fontId="15" fillId="2" borderId="0" xfId="1" applyFont="1" applyFill="1">
      <alignment vertical="center"/>
    </xf>
    <xf numFmtId="0" fontId="15" fillId="2" borderId="0" xfId="1" applyFont="1" applyFill="1" applyAlignment="1">
      <alignment vertical="center" wrapText="1"/>
    </xf>
    <xf numFmtId="49" fontId="4" fillId="7" borderId="1" xfId="0" applyNumberFormat="1" applyFont="1" applyFill="1" applyBorder="1" applyAlignment="1">
      <alignment horizontal="left"/>
    </xf>
    <xf numFmtId="0" fontId="6" fillId="7" borderId="0" xfId="0" applyFont="1" applyFill="1" applyAlignment="1">
      <alignment wrapText="1"/>
    </xf>
    <xf numFmtId="0" fontId="5" fillId="0" borderId="9" xfId="0" applyFont="1" applyBorder="1" applyAlignment="1">
      <alignment horizontal="center" vertical="center"/>
    </xf>
    <xf numFmtId="49" fontId="6" fillId="8" borderId="10" xfId="0" applyNumberFormat="1" applyFont="1" applyFill="1" applyBorder="1" applyAlignment="1">
      <alignment horizontal="left"/>
    </xf>
    <xf numFmtId="0" fontId="6" fillId="8" borderId="1" xfId="0" applyFont="1" applyFill="1" applyBorder="1"/>
    <xf numFmtId="0" fontId="5" fillId="8" borderId="1" xfId="0" applyFont="1" applyFill="1" applyBorder="1"/>
    <xf numFmtId="0" fontId="5" fillId="8" borderId="2" xfId="0" applyFont="1" applyFill="1" applyBorder="1"/>
    <xf numFmtId="0" fontId="6" fillId="8" borderId="2" xfId="0" applyFont="1" applyFill="1" applyBorder="1" applyAlignment="1">
      <alignment horizontal="center"/>
    </xf>
    <xf numFmtId="0" fontId="5" fillId="8" borderId="2" xfId="2" applyFont="1" applyFill="1" applyBorder="1"/>
    <xf numFmtId="0" fontId="6" fillId="8" borderId="2" xfId="0" applyFont="1" applyFill="1" applyBorder="1"/>
    <xf numFmtId="0" fontId="6" fillId="8" borderId="22" xfId="0" applyFont="1" applyFill="1" applyBorder="1"/>
    <xf numFmtId="49" fontId="6" fillId="8" borderId="22" xfId="0" applyNumberFormat="1" applyFont="1" applyFill="1" applyBorder="1" applyAlignment="1">
      <alignment horizontal="left"/>
    </xf>
    <xf numFmtId="0" fontId="7" fillId="0" borderId="3" xfId="0" applyFont="1" applyBorder="1"/>
    <xf numFmtId="0" fontId="5" fillId="0" borderId="24" xfId="0" applyFont="1" applyBorder="1"/>
    <xf numFmtId="0" fontId="5" fillId="5" borderId="23" xfId="0" applyFont="1" applyFill="1" applyBorder="1"/>
    <xf numFmtId="0" fontId="5" fillId="0" borderId="23" xfId="0" applyFont="1" applyBorder="1"/>
    <xf numFmtId="0" fontId="5" fillId="0" borderId="25" xfId="0" applyFont="1" applyBorder="1"/>
    <xf numFmtId="0" fontId="5" fillId="0" borderId="23" xfId="2" applyFont="1" applyBorder="1"/>
    <xf numFmtId="0" fontId="5" fillId="0" borderId="26" xfId="0" applyFont="1" applyBorder="1"/>
    <xf numFmtId="0" fontId="9" fillId="0" borderId="1" xfId="0" applyFont="1" applyBorder="1" applyAlignment="1">
      <alignment vertical="center" wrapText="1"/>
    </xf>
    <xf numFmtId="0" fontId="5" fillId="4" borderId="27" xfId="0" applyFont="1" applyFill="1" applyBorder="1" applyAlignment="1">
      <alignment wrapText="1"/>
    </xf>
    <xf numFmtId="49" fontId="6" fillId="0" borderId="14" xfId="0" applyNumberFormat="1" applyFont="1" applyBorder="1" applyAlignment="1">
      <alignment horizontal="left" wrapText="1"/>
    </xf>
    <xf numFmtId="0" fontId="0" fillId="0" borderId="0" xfId="0" applyAlignment="1">
      <alignment horizontal="center" vertical="center"/>
    </xf>
    <xf numFmtId="0" fontId="16" fillId="0" borderId="0" xfId="0" applyFont="1" applyAlignment="1">
      <alignment vertical="center"/>
    </xf>
    <xf numFmtId="0" fontId="0" fillId="9" borderId="1" xfId="0" applyFill="1" applyBorder="1" applyAlignment="1">
      <alignment horizontal="center" vertical="center"/>
    </xf>
    <xf numFmtId="0" fontId="16" fillId="0" borderId="1" xfId="0" applyFon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49" fontId="0" fillId="0" borderId="1" xfId="0" quotePrefix="1" applyNumberFormat="1" applyBorder="1" applyAlignment="1">
      <alignment horizontal="center" vertical="center"/>
    </xf>
    <xf numFmtId="176" fontId="6" fillId="0" borderId="1" xfId="0" applyNumberFormat="1" applyFont="1" applyBorder="1"/>
    <xf numFmtId="49" fontId="6" fillId="0" borderId="8" xfId="0" applyNumberFormat="1" applyFont="1" applyBorder="1"/>
    <xf numFmtId="0" fontId="9" fillId="0" borderId="28" xfId="0" applyFont="1" applyBorder="1" applyAlignment="1">
      <alignment vertical="center" wrapText="1"/>
    </xf>
    <xf numFmtId="0" fontId="6" fillId="0" borderId="23" xfId="0" applyFont="1" applyBorder="1"/>
    <xf numFmtId="49" fontId="6" fillId="0" borderId="23" xfId="0" applyNumberFormat="1" applyFont="1" applyBorder="1" applyAlignment="1">
      <alignment wrapText="1"/>
    </xf>
    <xf numFmtId="0" fontId="9" fillId="0" borderId="2" xfId="0" applyFont="1" applyBorder="1" applyAlignment="1">
      <alignment horizontal="left" vertical="center"/>
    </xf>
    <xf numFmtId="49" fontId="6" fillId="0" borderId="2" xfId="0" applyNumberFormat="1" applyFont="1" applyBorder="1" applyAlignment="1">
      <alignment horizontal="left"/>
    </xf>
    <xf numFmtId="0" fontId="17" fillId="0" borderId="29" xfId="0" applyFont="1" applyBorder="1" applyAlignment="1">
      <alignment vertical="top"/>
    </xf>
    <xf numFmtId="0" fontId="17" fillId="10" borderId="30" xfId="0" applyFont="1" applyFill="1" applyBorder="1" applyAlignment="1">
      <alignment vertical="top"/>
    </xf>
    <xf numFmtId="0" fontId="18" fillId="11" borderId="32" xfId="0" applyFont="1" applyFill="1" applyBorder="1" applyAlignment="1">
      <alignment vertical="top"/>
    </xf>
    <xf numFmtId="0" fontId="18" fillId="11" borderId="33" xfId="0" applyFont="1" applyFill="1" applyBorder="1" applyAlignment="1">
      <alignment vertical="top"/>
    </xf>
    <xf numFmtId="0" fontId="20" fillId="12" borderId="33" xfId="0" applyFont="1" applyFill="1" applyBorder="1" applyAlignment="1">
      <alignment vertical="top" wrapText="1"/>
    </xf>
    <xf numFmtId="0" fontId="18" fillId="13" borderId="32" xfId="0" applyFont="1" applyFill="1" applyBorder="1" applyAlignment="1">
      <alignment vertical="top"/>
    </xf>
    <xf numFmtId="0" fontId="18" fillId="13" borderId="33" xfId="0" applyFont="1" applyFill="1" applyBorder="1" applyAlignment="1">
      <alignment vertical="top"/>
    </xf>
    <xf numFmtId="0" fontId="21" fillId="14" borderId="33" xfId="0" applyFont="1" applyFill="1" applyBorder="1" applyAlignment="1">
      <alignment vertical="top" wrapText="1"/>
    </xf>
    <xf numFmtId="0" fontId="22" fillId="12" borderId="33" xfId="0" applyFont="1" applyFill="1" applyBorder="1" applyAlignment="1">
      <alignment vertical="top" wrapText="1"/>
    </xf>
    <xf numFmtId="0" fontId="19" fillId="12" borderId="33" xfId="0" applyFont="1" applyFill="1" applyBorder="1" applyAlignment="1">
      <alignment vertical="top" wrapText="1"/>
    </xf>
    <xf numFmtId="0" fontId="19" fillId="12" borderId="33" xfId="0" quotePrefix="1" applyFont="1" applyFill="1" applyBorder="1" applyAlignment="1">
      <alignment vertical="top" wrapText="1"/>
    </xf>
    <xf numFmtId="0" fontId="22" fillId="15" borderId="33" xfId="0" applyFont="1" applyFill="1" applyBorder="1" applyAlignment="1">
      <alignment vertical="top" wrapText="1"/>
    </xf>
    <xf numFmtId="0" fontId="23" fillId="15" borderId="33" xfId="0" applyFont="1" applyFill="1" applyBorder="1" applyAlignment="1">
      <alignment vertical="top" wrapText="1"/>
    </xf>
    <xf numFmtId="0" fontId="0" fillId="0" borderId="10" xfId="0" applyBorder="1"/>
    <xf numFmtId="49" fontId="6" fillId="0" borderId="36" xfId="0" applyNumberFormat="1" applyFont="1" applyBorder="1" applyAlignment="1">
      <alignment horizontal="left"/>
    </xf>
    <xf numFmtId="0" fontId="24" fillId="0" borderId="1" xfId="0" applyFont="1" applyBorder="1" applyAlignment="1">
      <alignment vertical="center"/>
    </xf>
    <xf numFmtId="0" fontId="24" fillId="0" borderId="2" xfId="0" applyFont="1" applyBorder="1" applyAlignment="1">
      <alignment vertical="center"/>
    </xf>
    <xf numFmtId="0" fontId="16" fillId="0" borderId="0" xfId="0" applyFont="1" applyAlignment="1">
      <alignment horizontal="center" vertical="center"/>
    </xf>
    <xf numFmtId="0" fontId="0" fillId="0" borderId="1" xfId="0" quotePrefix="1" applyBorder="1" applyAlignment="1">
      <alignment horizontal="center" vertical="center"/>
    </xf>
    <xf numFmtId="0" fontId="4" fillId="0" borderId="1" xfId="0" applyFont="1" applyBorder="1" applyAlignment="1">
      <alignment vertical="center"/>
    </xf>
    <xf numFmtId="0" fontId="6" fillId="0" borderId="1" xfId="0" applyFont="1" applyBorder="1" applyAlignment="1">
      <alignment vertical="center"/>
    </xf>
    <xf numFmtId="49" fontId="6" fillId="0" borderId="1" xfId="0" applyNumberFormat="1" applyFont="1" applyBorder="1" applyAlignment="1">
      <alignment horizontal="left" vertical="center"/>
    </xf>
    <xf numFmtId="0" fontId="5" fillId="0" borderId="1" xfId="0" applyFont="1" applyBorder="1" applyAlignment="1">
      <alignment vertical="center"/>
    </xf>
    <xf numFmtId="0" fontId="5" fillId="0" borderId="2" xfId="0" applyFont="1" applyBorder="1" applyAlignment="1">
      <alignment vertical="center"/>
    </xf>
    <xf numFmtId="0" fontId="6" fillId="0" borderId="4" xfId="0" applyFont="1" applyBorder="1" applyAlignment="1">
      <alignment vertical="center"/>
    </xf>
    <xf numFmtId="0" fontId="4" fillId="0" borderId="2" xfId="0" applyFont="1" applyBorder="1" applyAlignment="1">
      <alignment vertical="center"/>
    </xf>
    <xf numFmtId="0" fontId="6" fillId="0" borderId="1" xfId="0" applyFont="1" applyBorder="1" applyAlignment="1">
      <alignment wrapText="1"/>
    </xf>
    <xf numFmtId="0" fontId="6" fillId="0" borderId="1" xfId="0" quotePrefix="1" applyFont="1" applyBorder="1"/>
    <xf numFmtId="0" fontId="6" fillId="0" borderId="1" xfId="0" quotePrefix="1" applyFont="1" applyBorder="1" applyAlignment="1">
      <alignment wrapText="1"/>
    </xf>
    <xf numFmtId="0" fontId="6" fillId="0" borderId="1" xfId="0" applyFont="1" applyBorder="1" applyAlignment="1">
      <alignment horizontal="left" vertical="center"/>
    </xf>
    <xf numFmtId="49" fontId="6" fillId="0" borderId="22" xfId="0" applyNumberFormat="1" applyFont="1" applyBorder="1" applyAlignment="1">
      <alignment horizontal="left" wrapText="1"/>
    </xf>
    <xf numFmtId="0" fontId="5" fillId="0" borderId="26" xfId="0" applyFont="1" applyBorder="1" applyAlignment="1">
      <alignment vertical="top"/>
    </xf>
    <xf numFmtId="0" fontId="5" fillId="0" borderId="2" xfId="0" applyFont="1" applyBorder="1" applyAlignment="1">
      <alignment horizontal="center" vertical="top"/>
    </xf>
    <xf numFmtId="0" fontId="5" fillId="0" borderId="2" xfId="0" applyFont="1" applyBorder="1" applyAlignment="1">
      <alignment vertical="top"/>
    </xf>
    <xf numFmtId="0" fontId="6" fillId="0" borderId="2" xfId="0" applyFont="1" applyBorder="1" applyAlignment="1">
      <alignment vertical="top"/>
    </xf>
    <xf numFmtId="49" fontId="6" fillId="0" borderId="22" xfId="0" applyNumberFormat="1" applyFont="1" applyBorder="1" applyAlignment="1">
      <alignment horizontal="left" vertical="top"/>
    </xf>
    <xf numFmtId="0" fontId="6" fillId="0" borderId="1" xfId="0" applyFont="1" applyBorder="1" applyAlignment="1">
      <alignment horizontal="left" vertical="top"/>
    </xf>
    <xf numFmtId="0" fontId="6" fillId="0" borderId="1" xfId="0" applyFont="1" applyBorder="1" applyAlignment="1">
      <alignment vertical="top"/>
    </xf>
    <xf numFmtId="0" fontId="0" fillId="0" borderId="0" xfId="0" applyAlignment="1">
      <alignment wrapText="1"/>
    </xf>
    <xf numFmtId="0" fontId="17" fillId="10" borderId="31" xfId="0" applyFont="1" applyFill="1" applyBorder="1" applyAlignment="1">
      <alignment vertical="top" wrapText="1"/>
    </xf>
    <xf numFmtId="0" fontId="17" fillId="10" borderId="30" xfId="0" applyFont="1" applyFill="1" applyBorder="1" applyAlignment="1">
      <alignment vertical="top" wrapText="1"/>
    </xf>
    <xf numFmtId="0" fontId="19" fillId="12" borderId="31" xfId="0" quotePrefix="1" applyFont="1" applyFill="1" applyBorder="1" applyAlignment="1">
      <alignment vertical="center" wrapText="1"/>
    </xf>
    <xf numFmtId="0" fontId="19" fillId="12" borderId="31" xfId="0" applyFont="1" applyFill="1" applyBorder="1" applyAlignment="1">
      <alignment vertical="center" wrapText="1"/>
    </xf>
    <xf numFmtId="0" fontId="19" fillId="12" borderId="30" xfId="0" applyFont="1" applyFill="1" applyBorder="1" applyAlignment="1">
      <alignment vertical="center" wrapText="1"/>
    </xf>
    <xf numFmtId="0" fontId="18" fillId="13" borderId="34" xfId="0" applyFont="1" applyFill="1" applyBorder="1" applyAlignment="1">
      <alignment horizontal="left" vertical="top"/>
    </xf>
    <xf numFmtId="0" fontId="18" fillId="13" borderId="35" xfId="0" applyFont="1" applyFill="1" applyBorder="1" applyAlignment="1">
      <alignment horizontal="left" vertical="top"/>
    </xf>
    <xf numFmtId="0" fontId="5" fillId="0" borderId="15" xfId="0" applyFont="1" applyBorder="1" applyAlignment="1">
      <alignment horizontal="center" vertical="center"/>
    </xf>
    <xf numFmtId="0" fontId="6" fillId="0" borderId="7" xfId="0" applyFont="1" applyBorder="1" applyAlignment="1">
      <alignment horizontal="center" vertical="center"/>
    </xf>
    <xf numFmtId="0" fontId="6" fillId="0" borderId="16" xfId="0" applyFont="1" applyBorder="1" applyAlignment="1">
      <alignment horizontal="center" vertical="center"/>
    </xf>
    <xf numFmtId="0" fontId="6" fillId="0" borderId="1" xfId="0" applyFont="1" applyBorder="1" applyAlignment="1">
      <alignment horizontal="center" vertical="center"/>
    </xf>
    <xf numFmtId="0" fontId="6" fillId="0" borderId="17" xfId="0" applyFont="1" applyBorder="1" applyAlignment="1">
      <alignment horizontal="center" vertical="center"/>
    </xf>
    <xf numFmtId="0" fontId="6" fillId="0" borderId="13"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5" fillId="0" borderId="17"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12"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6" fillId="0" borderId="6"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6" fillId="0" borderId="1" xfId="0" applyFont="1" applyBorder="1" applyAlignment="1">
      <alignment horizontal="center"/>
    </xf>
    <xf numFmtId="0" fontId="5" fillId="0" borderId="1" xfId="0" applyFont="1" applyBorder="1" applyAlignment="1">
      <alignment horizontal="center" vertical="center"/>
    </xf>
  </cellXfs>
  <cellStyles count="3">
    <cellStyle name="標準" xfId="0" builtinId="0"/>
    <cellStyle name="標準 2" xfId="1" xr:uid="{40251804-E9E9-43A3-956E-E079063D14C4}"/>
    <cellStyle name="標準 4" xfId="2" xr:uid="{965AAE8D-7E1A-4798-B53C-4043C6350A54}"/>
  </cellStyles>
  <dxfs count="18">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s>
  <tableStyles count="0" defaultTableStyle="TableStyleMedium2" defaultPivotStyle="PivotStyleLight16"/>
  <colors>
    <mruColors>
      <color rgb="FF6DB2BF"/>
      <color rgb="FFE2F0F3"/>
      <color rgb="FF167F92"/>
      <color rgb="FF438C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200026</xdr:colOff>
      <xdr:row>8</xdr:row>
      <xdr:rowOff>95250</xdr:rowOff>
    </xdr:from>
    <xdr:to>
      <xdr:col>5</xdr:col>
      <xdr:colOff>3038476</xdr:colOff>
      <xdr:row>8</xdr:row>
      <xdr:rowOff>2286000</xdr:rowOff>
    </xdr:to>
    <xdr:pic>
      <xdr:nvPicPr>
        <xdr:cNvPr id="4" name="図 3">
          <a:extLst>
            <a:ext uri="{FF2B5EF4-FFF2-40B4-BE49-F238E27FC236}">
              <a16:creationId xmlns:a16="http://schemas.microsoft.com/office/drawing/2014/main" id="{DC45E6D9-3BA9-FD84-E46D-27A923D6CF74}"/>
            </a:ext>
          </a:extLst>
        </xdr:cNvPr>
        <xdr:cNvPicPr>
          <a:picLocks noChangeAspect="1"/>
        </xdr:cNvPicPr>
      </xdr:nvPicPr>
      <xdr:blipFill>
        <a:blip xmlns:r="http://schemas.openxmlformats.org/officeDocument/2006/relationships" r:embed="rId1"/>
        <a:stretch>
          <a:fillRect/>
        </a:stretch>
      </xdr:blipFill>
      <xdr:spPr>
        <a:xfrm>
          <a:off x="9505951" y="9086850"/>
          <a:ext cx="2838450" cy="2190750"/>
        </a:xfrm>
        <a:prstGeom prst="rect">
          <a:avLst/>
        </a:prstGeom>
      </xdr:spPr>
    </xdr:pic>
    <xdr:clientData/>
  </xdr:twoCellAnchor>
  <xdr:twoCellAnchor editAs="oneCell">
    <xdr:from>
      <xdr:col>5</xdr:col>
      <xdr:colOff>228600</xdr:colOff>
      <xdr:row>6</xdr:row>
      <xdr:rowOff>1295401</xdr:rowOff>
    </xdr:from>
    <xdr:to>
      <xdr:col>5</xdr:col>
      <xdr:colOff>3102340</xdr:colOff>
      <xdr:row>6</xdr:row>
      <xdr:rowOff>3514725</xdr:rowOff>
    </xdr:to>
    <xdr:pic>
      <xdr:nvPicPr>
        <xdr:cNvPr id="3" name="図 2">
          <a:extLst>
            <a:ext uri="{FF2B5EF4-FFF2-40B4-BE49-F238E27FC236}">
              <a16:creationId xmlns:a16="http://schemas.microsoft.com/office/drawing/2014/main" id="{C4AEFF14-DC3E-13A9-454D-5A9009484D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34525" y="4238626"/>
          <a:ext cx="2873740" cy="2219324"/>
        </a:xfrm>
        <a:prstGeom prst="rect">
          <a:avLst/>
        </a:prstGeom>
      </xdr:spPr>
    </xdr:pic>
    <xdr:clientData/>
  </xdr:twoCellAnchor>
  <xdr:twoCellAnchor editAs="oneCell">
    <xdr:from>
      <xdr:col>5</xdr:col>
      <xdr:colOff>171450</xdr:colOff>
      <xdr:row>7</xdr:row>
      <xdr:rowOff>57150</xdr:rowOff>
    </xdr:from>
    <xdr:to>
      <xdr:col>5</xdr:col>
      <xdr:colOff>3207406</xdr:colOff>
      <xdr:row>7</xdr:row>
      <xdr:rowOff>2295525</xdr:rowOff>
    </xdr:to>
    <xdr:pic>
      <xdr:nvPicPr>
        <xdr:cNvPr id="8" name="図 7">
          <a:extLst>
            <a:ext uri="{FF2B5EF4-FFF2-40B4-BE49-F238E27FC236}">
              <a16:creationId xmlns:a16="http://schemas.microsoft.com/office/drawing/2014/main" id="{60BB4C79-A601-A91B-346C-A84993C127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77375" y="6724650"/>
          <a:ext cx="3035956" cy="2238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nagao/Documents/DCS-Viewer/&#30707;&#20117;&#12373;&#12435;&#36899;&#25658;/sample/XAFS_excel_invi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l$\Ubuntu-22.04\Users\nagao\Documents\DCS-Viewer\&#30707;&#20117;&#12373;&#12435;&#36899;&#25658;\sample\XAFS_excel_invi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nagao/Documents/M-DaC(&#20027;&#35201;&#12497;&#12521;&#12513;&#12540;&#12479;&#31649;&#29702;)/DPF&#12513;&#12479;&#26908;&#35342;2001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l$\Ubuntu-22.04\Users\nagao\Documents\M-DaC(&#20027;&#35201;&#12497;&#12521;&#12513;&#12540;&#12479;&#31649;&#29702;)\DPF&#12513;&#12479;&#26908;&#35342;20010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nagao/Downloads/DCS&#30331;&#37682;&#29992;&#12486;&#12531;&#12503;&#12524;&#12540;&#12488;_mi20200809-20210406&#20462;&#27491;-MDR&#36861;&#21152;&#29256;%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nimsgojp-my.sharepoint.com/personal/nagao_hiroko_nims_go_jp/Documents/Microsoft%20Teams%20&#12481;&#12515;&#12483;&#12488;%20&#12501;&#12449;&#12452;&#12523;/DCS&#30331;&#37682;&#29992;&#12486;&#12531;&#12503;&#12524;&#12540;&#12488;_mi20200809-20210406&#20462;&#27491;-MDR&#36861;&#21152;&#2925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row r="24">
          <cell r="J24" t="str">
            <v>荷電分布</v>
          </cell>
          <cell r="K24" t="str">
            <v>クロマトグラフィー</v>
          </cell>
          <cell r="L24" t="str">
            <v>膨張計</v>
          </cell>
          <cell r="M24" t="str">
            <v>電気化学</v>
          </cell>
          <cell r="N24" t="str">
            <v>機械特性</v>
          </cell>
          <cell r="O24" t="str">
            <v>顕微法</v>
          </cell>
          <cell r="P24" t="str">
            <v>光学測定</v>
          </cell>
          <cell r="Q24" t="str">
            <v>浸透圧法(osmometry)</v>
          </cell>
          <cell r="R24" t="str">
            <v>プロフィロメトリー</v>
          </cell>
          <cell r="S24" t="str">
            <v>散乱_回折</v>
          </cell>
          <cell r="T24" t="str">
            <v>分光分析法</v>
          </cell>
          <cell r="U24" t="str">
            <v>分光法</v>
          </cell>
          <cell r="V24" t="str">
            <v>熱化学</v>
          </cell>
          <cell r="W24" t="str">
            <v>トモグラフィー</v>
          </cell>
          <cell r="X24" t="str">
            <v>超音波</v>
          </cell>
          <cell r="Y24" t="str">
            <v>粘度測定</v>
          </cell>
          <cell r="Z24" t="str">
            <v>その他</v>
          </cell>
        </row>
        <row r="118">
          <cell r="G118" t="str">
            <v>N_A</v>
          </cell>
        </row>
        <row r="119">
          <cell r="G119" t="str">
            <v>空気中</v>
          </cell>
        </row>
        <row r="120">
          <cell r="G120" t="str">
            <v>液体中</v>
          </cell>
        </row>
        <row r="121">
          <cell r="G121" t="str">
            <v>真空中</v>
          </cell>
        </row>
        <row r="122">
          <cell r="G122" t="str">
            <v>不活性ガス中</v>
          </cell>
        </row>
        <row r="123">
          <cell r="G123" t="str">
            <v>高圧下</v>
          </cell>
        </row>
        <row r="124">
          <cell r="G124" t="str">
            <v>磁場中</v>
          </cell>
        </row>
        <row r="125">
          <cell r="G125" t="str">
            <v>低温</v>
          </cell>
        </row>
        <row r="126">
          <cell r="G126" t="str">
            <v>その他（自由記述）</v>
          </cell>
        </row>
      </sheetData>
      <sheetData sheetId="1">
        <row r="17">
          <cell r="J17" t="str">
            <v>生物学的物質</v>
          </cell>
          <cell r="K17" t="str">
            <v>生体材料</v>
          </cell>
          <cell r="L17" t="str">
            <v>セラミックス</v>
          </cell>
          <cell r="M17" t="str">
            <v>金属・合金</v>
          </cell>
          <cell r="N17" t="str">
            <v>メタマテリアル</v>
          </cell>
          <cell r="O17" t="str">
            <v>分子流体</v>
          </cell>
          <cell r="P17" t="str">
            <v>有機化合物</v>
          </cell>
          <cell r="Q17" t="str">
            <v>有機金属</v>
          </cell>
          <cell r="R17" t="str">
            <v>ポリマー</v>
          </cell>
          <cell r="S17" t="str">
            <v>半導体</v>
          </cell>
          <cell r="T17" t="str">
            <v>その他</v>
          </cell>
        </row>
      </sheetData>
      <sheetData sheetId="2">
        <row r="25">
          <cell r="I25" t="str">
            <v>複合材料</v>
          </cell>
          <cell r="J25" t="str">
            <v>欠陥</v>
          </cell>
          <cell r="K25" t="str">
            <v>工学的構造</v>
          </cell>
          <cell r="L25" t="str">
            <v>界面</v>
          </cell>
          <cell r="M25" t="str">
            <v>微細構造_microstructure</v>
          </cell>
          <cell r="N25" t="str">
            <v>分子構造</v>
          </cell>
          <cell r="O25" t="str">
            <v>形態</v>
          </cell>
          <cell r="P25" t="str">
            <v>相</v>
          </cell>
          <cell r="Q25" t="str">
            <v>その他</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NAGAO Hiroko" id="{B7DAA40B-BCA7-41A8-B040-18157FA8396E}" userId="S::nagao.hiroko@nims.go.jp::c16b1a13-41de-4a2e-b867-1435f5d438aa" providerId="AD"/>
  <person displayName="MATSUDA Asahiko" id="{02959AA8-3E6A-624A-9B68-AF89E7C1CB3F}" userId="S::MATSUDA.Asahiko@nims.go.jp::eaa87ae4-428f-4518-a80a-f0040790c2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 dT="2023-10-19T01:27:35.56" personId="{02959AA8-3E6A-624A-9B68-AF89E7C1CB3F}" id="{8EC9289B-E89B-C54A-AF5E-A9CAB7783195}">
    <text>「スパイク除去/spike removal」などとするのが良いでしょう。（特異点除去という言葉は物理学上かなり特定の意味を持つ言葉で、今回の処理はそれに当たらないため）</text>
  </threadedComment>
  <threadedComment ref="F26" dT="2023-10-19T03:36:03.85" personId="{B7DAA40B-BCA7-41A8-B040-18157FA8396E}" id="{65CAA7EC-442D-4352-94C9-1F8A9F2706B9}" parentId="{8EC9289B-E89B-C54A-AF5E-A9CAB7783195}">
    <text>OKです。</text>
  </threadedComment>
  <threadedComment ref="F27" dT="2023-10-19T01:28:53.54" personId="{02959AA8-3E6A-624A-9B68-AF89E7C1CB3F}" id="{296B8175-6133-1340-B050-FB33F3C0CC15}">
    <text>「取得」というか、「特出し表示」？　取得でも良いですが、一応議論したく</text>
  </threadedComment>
</ThreadedComments>
</file>

<file path=xl/threadedComments/threadedComment2.xml><?xml version="1.0" encoding="utf-8"?>
<ThreadedComments xmlns="http://schemas.microsoft.com/office/spreadsheetml/2018/threadedcomments" xmlns:x="http://schemas.openxmlformats.org/spreadsheetml/2006/main">
  <threadedComment ref="L27" dT="2023-10-19T01:41:04.51" personId="{02959AA8-3E6A-624A-9B68-AF89E7C1CB3F}" id="{AD545E9C-6EAD-7444-868D-1DA9DDED3D54}">
    <text>数値型に固執させるなら、サンプル幅・サンプル長さ・サンプル厚さの3項目に分ける必要が出てきますか？</text>
  </threadedComment>
  <threadedComment ref="L27" dT="2023-10-19T02:08:23.12" personId="{B7DAA40B-BCA7-41A8-B040-18157FA8396E}" id="{FE90D754-AA9F-4974-9E7A-AC2203918558}" parentId="{AD545E9C-6EAD-7444-868D-1DA9DDED3D54}">
    <text>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ext>
  </threadedComment>
  <threadedComment ref="F36" dT="2023-10-19T01:32:06.24" personId="{02959AA8-3E6A-624A-9B68-AF89E7C1CB3F}" id="{14C21C5E-7A44-AA48-B84A-2B7A0F5A94D8}">
    <text>"coercivity" のようなちゃんとした英語名ではなく、記号を英語名扱いで格納するということでいいなら、これでOKです。この下のセルも同様</text>
  </threadedComment>
  <threadedComment ref="F36" dT="2023-10-19T02:10:15.67" personId="{B7DAA40B-BCA7-41A8-B040-18157FA8396E}" id="{3AE3BCEA-48EA-44B5-B0AE-BDD8A9AD1B7A}" parentId="{14C21C5E-7A44-AA48-B84A-2B7A0F5A94D8}">
    <text>確かにそうですね。基本的に略語は使用しない、という原則で考えていますが、磁性分野では常識な語彙なのでOKと考えるか、ということですね。</text>
  </threadedComment>
  <threadedComment ref="H37" dT="2023-10-19T01:30:32.19" personId="{02959AA8-3E6A-624A-9B68-AF89E7C1CB3F}" id="{C11FE378-AC52-5844-93E3-10FA1B4B2ECC}">
    <text>emuは標準単位系ではないので、高橋さん用途には良いとしても、汎用としては別の単位に換算すべきな気がする</text>
  </threadedComment>
  <threadedComment ref="F39" dT="2023-10-19T01:43:00.95" personId="{02959AA8-3E6A-624A-9B68-AF89E7C1CB3F}" id="{EFCB1198-F542-704F-9335-CDD4A0F5BC07}">
    <text>Br per volume か？</text>
  </threadedComment>
  <threadedComment ref="F39" dT="2023-10-19T02:13:06.03" personId="{B7DAA40B-BCA7-41A8-B040-18157FA8396E}" id="{422D20DE-4B61-4AAC-B1C7-01BDF1F5C690}" parentId="{EFCB1198-F542-704F-9335-CDD4A0F5BC07}">
    <text>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text>
  </threadedComment>
  <threadedComment ref="F39" dT="2023-10-19T02:15:35.01" personId="{B7DAA40B-BCA7-41A8-B040-18157FA8396E}" id="{8B9CCB42-4FA1-464E-B104-861A13AA9B0C}" parentId="{EFCB1198-F542-704F-9335-CDD4A0F5BC07}">
    <text>10/3に
「Bs/体積」
と連絡あり。</text>
  </threadedComment>
  <threadedComment ref="F39" dT="2023-10-19T02:20:16.78" personId="{B7DAA40B-BCA7-41A8-B040-18157FA8396E}" id="{7968B7E6-2118-429C-AC77-7849838931AC}" parentId="{EFCB1198-F542-704F-9335-CDD4A0F5BC07}">
    <text>高橋さんのメタは
「残留磁化x膜厚(memu):3.92e-03」
となっており、残留磁化はBrを使用しています。整理必要かもしれません。</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BF0-6A59-4E51-B01C-7C6C93D7E843}">
  <dimension ref="A1:N50"/>
  <sheetViews>
    <sheetView zoomScale="125" zoomScaleNormal="70" workbookViewId="0">
      <selection activeCell="G30" sqref="G30"/>
    </sheetView>
  </sheetViews>
  <sheetFormatPr defaultColWidth="9" defaultRowHeight="18.75"/>
  <cols>
    <col min="1" max="2" width="19" style="3" customWidth="1"/>
    <col min="3" max="3" width="50.875" style="3" customWidth="1"/>
    <col min="4" max="5" width="9" style="5" customWidth="1"/>
    <col min="6" max="7" width="37.875" style="3" customWidth="1"/>
    <col min="8" max="10" width="14.125" style="3" customWidth="1"/>
    <col min="11" max="11" width="45.125" style="3" customWidth="1"/>
    <col min="12" max="14" width="9" style="3"/>
    <col min="15" max="15" width="3.125" style="3" customWidth="1"/>
    <col min="16" max="16384" width="9" style="3"/>
  </cols>
  <sheetData>
    <row r="1" spans="1:12">
      <c r="C1" s="4" t="s">
        <v>0</v>
      </c>
    </row>
    <row r="3" spans="1:12" ht="19.5" thickBot="1">
      <c r="C3" s="3" t="s">
        <v>1</v>
      </c>
      <c r="F3" s="3" t="s">
        <v>2</v>
      </c>
      <c r="G3" s="3" t="s">
        <v>3</v>
      </c>
      <c r="H3" s="6" t="s">
        <v>4</v>
      </c>
      <c r="I3" s="3" t="s">
        <v>5</v>
      </c>
      <c r="J3" s="3" t="s">
        <v>6</v>
      </c>
      <c r="K3" s="6" t="s">
        <v>7</v>
      </c>
    </row>
    <row r="4" spans="1:12" ht="94.5" thickBot="1">
      <c r="C4" s="7" t="s">
        <v>8</v>
      </c>
      <c r="D4" s="8" t="s">
        <v>9</v>
      </c>
      <c r="E4" s="8" t="s">
        <v>10</v>
      </c>
      <c r="F4" s="9" t="s">
        <v>11</v>
      </c>
      <c r="G4" s="9" t="s">
        <v>12</v>
      </c>
      <c r="H4" s="10" t="s">
        <v>13</v>
      </c>
      <c r="I4" s="11" t="s">
        <v>14</v>
      </c>
      <c r="J4" s="11" t="s">
        <v>15</v>
      </c>
      <c r="K4" s="12" t="s">
        <v>16</v>
      </c>
    </row>
    <row r="5" spans="1:12">
      <c r="A5" s="158" t="s">
        <v>17</v>
      </c>
      <c r="B5" s="159"/>
      <c r="C5" s="13" t="str">
        <f t="shared" ref="C5:C10" si="0">SUBSTITUTE(LOWER(TRIM(G5))," ","_")</f>
        <v>instrument</v>
      </c>
      <c r="D5" s="14" t="s">
        <v>18</v>
      </c>
      <c r="E5" s="14"/>
      <c r="F5" s="13" t="s">
        <v>19</v>
      </c>
      <c r="G5" s="13" t="s">
        <v>20</v>
      </c>
      <c r="H5" s="13" t="s">
        <v>21</v>
      </c>
      <c r="I5" s="15"/>
      <c r="J5" s="15"/>
      <c r="K5" s="16"/>
    </row>
    <row r="6" spans="1:12">
      <c r="A6" s="160"/>
      <c r="B6" s="161"/>
      <c r="C6" s="17" t="str">
        <f t="shared" si="0"/>
        <v/>
      </c>
      <c r="D6" s="18"/>
      <c r="E6" s="18"/>
      <c r="F6" s="17" t="s">
        <v>22</v>
      </c>
      <c r="G6" s="17" t="s">
        <v>23</v>
      </c>
      <c r="H6" s="17"/>
      <c r="I6" s="19"/>
      <c r="J6" s="19"/>
      <c r="K6" s="20" t="s">
        <v>24</v>
      </c>
    </row>
    <row r="7" spans="1:12">
      <c r="A7" s="160"/>
      <c r="B7" s="161"/>
      <c r="C7" s="21" t="str">
        <f t="shared" si="0"/>
        <v>data_owner_(affiliation)</v>
      </c>
      <c r="D7" s="22" t="s">
        <v>18</v>
      </c>
      <c r="E7" s="22"/>
      <c r="F7" s="21" t="s">
        <v>25</v>
      </c>
      <c r="G7" s="21" t="s">
        <v>26</v>
      </c>
      <c r="H7" s="21" t="s">
        <v>27</v>
      </c>
      <c r="I7" s="23"/>
      <c r="J7" s="23"/>
      <c r="K7" s="24" t="s">
        <v>28</v>
      </c>
    </row>
    <row r="8" spans="1:12">
      <c r="A8" s="160"/>
      <c r="B8" s="161"/>
      <c r="C8" s="21" t="str">
        <f t="shared" si="0"/>
        <v>data_name</v>
      </c>
      <c r="D8" s="22" t="s">
        <v>18</v>
      </c>
      <c r="E8" s="22"/>
      <c r="F8" s="21" t="s">
        <v>29</v>
      </c>
      <c r="G8" s="21" t="s">
        <v>30</v>
      </c>
      <c r="H8" s="21" t="s">
        <v>27</v>
      </c>
      <c r="I8" s="23"/>
      <c r="J8" s="23"/>
      <c r="K8" s="24"/>
      <c r="L8" s="3" t="s">
        <v>31</v>
      </c>
    </row>
    <row r="9" spans="1:12">
      <c r="A9" s="160"/>
      <c r="B9" s="161"/>
      <c r="C9" s="21" t="str">
        <f t="shared" si="0"/>
        <v>experiment_id</v>
      </c>
      <c r="D9" s="22"/>
      <c r="E9" s="22"/>
      <c r="F9" s="21" t="s">
        <v>32</v>
      </c>
      <c r="G9" s="21" t="s">
        <v>33</v>
      </c>
      <c r="H9" s="21" t="s">
        <v>21</v>
      </c>
      <c r="I9" s="23"/>
      <c r="J9" s="23"/>
      <c r="K9" s="24"/>
    </row>
    <row r="10" spans="1:12" ht="19.5" thickBot="1">
      <c r="A10" s="162"/>
      <c r="B10" s="163"/>
      <c r="C10" s="25" t="str">
        <f t="shared" si="0"/>
        <v>description</v>
      </c>
      <c r="D10" s="26"/>
      <c r="E10" s="26"/>
      <c r="F10" s="25" t="s">
        <v>34</v>
      </c>
      <c r="G10" s="25" t="s">
        <v>35</v>
      </c>
      <c r="H10" s="25" t="s">
        <v>21</v>
      </c>
      <c r="I10" s="27"/>
      <c r="J10" s="27"/>
      <c r="K10" s="28"/>
    </row>
    <row r="11" spans="1:12">
      <c r="A11" s="173" t="s">
        <v>36</v>
      </c>
      <c r="B11" s="170" t="s">
        <v>37</v>
      </c>
      <c r="C11" s="13" t="str">
        <f>SUBSTITUTE(LOWER(TRIM(G11))," ","_")</f>
        <v>sample_name_(local_id)</v>
      </c>
      <c r="D11" s="14" t="s">
        <v>38</v>
      </c>
      <c r="E11" s="14"/>
      <c r="F11" s="29" t="s">
        <v>39</v>
      </c>
      <c r="G11" s="13" t="s">
        <v>40</v>
      </c>
      <c r="H11" s="29" t="s">
        <v>27</v>
      </c>
      <c r="I11" s="15"/>
      <c r="J11" s="15"/>
      <c r="K11" s="30"/>
    </row>
    <row r="12" spans="1:12">
      <c r="A12" s="174"/>
      <c r="B12" s="171"/>
      <c r="C12" s="21" t="str">
        <f>SUBSTITUTE(LOWER(TRIM(G12))," ","_")</f>
        <v>chemical_formula_etc.</v>
      </c>
      <c r="D12" s="31"/>
      <c r="E12" s="31"/>
      <c r="F12" s="32" t="s">
        <v>41</v>
      </c>
      <c r="G12" s="23" t="s">
        <v>42</v>
      </c>
      <c r="H12" s="32" t="s">
        <v>27</v>
      </c>
      <c r="I12" s="23"/>
      <c r="J12" s="23"/>
      <c r="K12" s="33"/>
    </row>
    <row r="13" spans="1:12">
      <c r="A13" s="174"/>
      <c r="B13" s="171"/>
      <c r="C13" s="21" t="str">
        <f t="shared" ref="C13:C17" si="1">SUBSTITUTE(LOWER(TRIM(G13))," ","_")</f>
        <v>administrator_(affiliation)</v>
      </c>
      <c r="D13" s="31" t="s">
        <v>38</v>
      </c>
      <c r="E13" s="31"/>
      <c r="F13" s="23" t="s">
        <v>43</v>
      </c>
      <c r="G13" s="23" t="s">
        <v>44</v>
      </c>
      <c r="H13" s="32" t="s">
        <v>27</v>
      </c>
      <c r="I13" s="23"/>
      <c r="J13" s="23"/>
      <c r="K13" s="33"/>
    </row>
    <row r="14" spans="1:12">
      <c r="A14" s="174"/>
      <c r="B14" s="171"/>
      <c r="C14" s="21" t="str">
        <f t="shared" si="1"/>
        <v>reference_url</v>
      </c>
      <c r="D14" s="31"/>
      <c r="E14" s="31"/>
      <c r="F14" s="32" t="s">
        <v>45</v>
      </c>
      <c r="G14" s="23" t="s">
        <v>46</v>
      </c>
      <c r="H14" s="32" t="s">
        <v>27</v>
      </c>
      <c r="I14" s="23"/>
      <c r="J14" s="23"/>
      <c r="K14" s="33"/>
    </row>
    <row r="15" spans="1:12">
      <c r="A15" s="174"/>
      <c r="B15" s="171"/>
      <c r="C15" s="21" t="str">
        <f t="shared" si="1"/>
        <v>related_samples</v>
      </c>
      <c r="D15" s="31"/>
      <c r="E15" s="31"/>
      <c r="F15" s="32" t="s">
        <v>47</v>
      </c>
      <c r="G15" s="23" t="s">
        <v>48</v>
      </c>
      <c r="H15" s="32" t="s">
        <v>27</v>
      </c>
      <c r="I15" s="23"/>
      <c r="J15" s="23"/>
      <c r="K15" s="33"/>
    </row>
    <row r="16" spans="1:12">
      <c r="A16" s="174"/>
      <c r="B16" s="171"/>
      <c r="C16" s="21" t="str">
        <f t="shared" si="1"/>
        <v>tags</v>
      </c>
      <c r="D16" s="31"/>
      <c r="E16" s="31"/>
      <c r="F16" s="32" t="s">
        <v>49</v>
      </c>
      <c r="G16" s="23" t="s">
        <v>50</v>
      </c>
      <c r="H16" s="32" t="s">
        <v>27</v>
      </c>
      <c r="I16" s="23"/>
      <c r="J16" s="23"/>
      <c r="K16" s="33"/>
    </row>
    <row r="17" spans="1:11">
      <c r="A17" s="174"/>
      <c r="B17" s="171"/>
      <c r="C17" s="21" t="str">
        <f t="shared" si="1"/>
        <v>description</v>
      </c>
      <c r="D17" s="31"/>
      <c r="E17" s="31"/>
      <c r="F17" s="32" t="s">
        <v>51</v>
      </c>
      <c r="G17" s="23" t="s">
        <v>52</v>
      </c>
      <c r="H17" s="32" t="s">
        <v>27</v>
      </c>
      <c r="I17" s="23"/>
      <c r="J17" s="23"/>
      <c r="K17" s="33"/>
    </row>
    <row r="18" spans="1:11">
      <c r="A18" s="174"/>
      <c r="B18" s="171"/>
      <c r="C18" s="21" t="str">
        <f t="shared" ref="C18:C24" si="2">"sample.general."&amp;SUBSTITUTE(LOWER(TRIM(G18))," ","_")</f>
        <v>sample.general.general_name</v>
      </c>
      <c r="D18" s="31"/>
      <c r="E18" s="31"/>
      <c r="F18" s="32" t="s">
        <v>53</v>
      </c>
      <c r="G18" s="23" t="s">
        <v>54</v>
      </c>
      <c r="H18" s="32" t="s">
        <v>27</v>
      </c>
      <c r="I18" s="23"/>
      <c r="J18" s="23"/>
      <c r="K18" s="33"/>
    </row>
    <row r="19" spans="1:11">
      <c r="A19" s="174"/>
      <c r="B19" s="171"/>
      <c r="C19" s="21" t="str">
        <f t="shared" si="2"/>
        <v>sample.general.cas_number</v>
      </c>
      <c r="D19" s="31"/>
      <c r="E19" s="31"/>
      <c r="F19" s="32" t="s">
        <v>55</v>
      </c>
      <c r="G19" s="23" t="s">
        <v>56</v>
      </c>
      <c r="H19" s="32" t="s">
        <v>27</v>
      </c>
      <c r="I19" s="23"/>
      <c r="J19" s="23"/>
      <c r="K19" s="33"/>
    </row>
    <row r="20" spans="1:11">
      <c r="A20" s="174"/>
      <c r="B20" s="171"/>
      <c r="C20" s="21" t="str">
        <f t="shared" si="2"/>
        <v>sample.general.crystal_structure</v>
      </c>
      <c r="D20" s="31"/>
      <c r="E20" s="31"/>
      <c r="F20" s="32" t="s">
        <v>57</v>
      </c>
      <c r="G20" s="23" t="s">
        <v>58</v>
      </c>
      <c r="H20" s="32" t="s">
        <v>27</v>
      </c>
      <c r="I20" s="23"/>
      <c r="J20" s="23"/>
      <c r="K20" s="33"/>
    </row>
    <row r="21" spans="1:11">
      <c r="A21" s="174"/>
      <c r="B21" s="171"/>
      <c r="C21" s="21" t="str">
        <f t="shared" si="2"/>
        <v>sample.general.sample_shape</v>
      </c>
      <c r="D21" s="31"/>
      <c r="E21" s="31"/>
      <c r="F21" s="32" t="s">
        <v>59</v>
      </c>
      <c r="G21" s="23" t="s">
        <v>60</v>
      </c>
      <c r="H21" s="32" t="s">
        <v>27</v>
      </c>
      <c r="I21" s="23"/>
      <c r="J21" s="23"/>
      <c r="K21" s="33"/>
    </row>
    <row r="22" spans="1:11">
      <c r="A22" s="174"/>
      <c r="B22" s="171"/>
      <c r="C22" s="21" t="str">
        <f t="shared" si="2"/>
        <v>sample.general.purchase_date</v>
      </c>
      <c r="D22" s="31"/>
      <c r="E22" s="31"/>
      <c r="F22" s="32" t="s">
        <v>61</v>
      </c>
      <c r="G22" s="23" t="s">
        <v>62</v>
      </c>
      <c r="H22" s="32" t="s">
        <v>27</v>
      </c>
      <c r="I22" s="23"/>
      <c r="J22" s="23"/>
      <c r="K22" s="33"/>
    </row>
    <row r="23" spans="1:11">
      <c r="A23" s="174"/>
      <c r="B23" s="171"/>
      <c r="C23" s="21" t="str">
        <f t="shared" si="2"/>
        <v>sample.general.supplier</v>
      </c>
      <c r="D23" s="31"/>
      <c r="E23" s="31"/>
      <c r="F23" s="32" t="s">
        <v>63</v>
      </c>
      <c r="G23" s="23" t="s">
        <v>64</v>
      </c>
      <c r="H23" s="32" t="s">
        <v>27</v>
      </c>
      <c r="I23" s="23"/>
      <c r="J23" s="23"/>
      <c r="K23" s="33"/>
    </row>
    <row r="24" spans="1:11" ht="19.5" thickBot="1">
      <c r="A24" s="175"/>
      <c r="B24" s="172"/>
      <c r="C24" s="25" t="str">
        <f t="shared" si="2"/>
        <v>sample.general.lot_number_or_product_number_etc</v>
      </c>
      <c r="D24" s="34"/>
      <c r="E24" s="34"/>
      <c r="F24" s="35" t="s">
        <v>65</v>
      </c>
      <c r="G24" s="35" t="s">
        <v>66</v>
      </c>
      <c r="H24" s="35" t="s">
        <v>27</v>
      </c>
      <c r="I24" s="35"/>
      <c r="J24" s="27"/>
      <c r="K24" s="36"/>
    </row>
    <row r="25" spans="1:11">
      <c r="A25" s="78"/>
      <c r="B25" s="176" t="s">
        <v>67</v>
      </c>
      <c r="C25" s="82" t="s">
        <v>68</v>
      </c>
      <c r="D25" s="83"/>
      <c r="E25" s="83"/>
      <c r="F25" s="84" t="s">
        <v>69</v>
      </c>
      <c r="G25" s="84" t="s">
        <v>70</v>
      </c>
      <c r="H25" s="84" t="s">
        <v>71</v>
      </c>
      <c r="I25" s="84"/>
      <c r="J25" s="85"/>
      <c r="K25" s="86" t="s">
        <v>72</v>
      </c>
    </row>
    <row r="26" spans="1:11">
      <c r="A26" s="78"/>
      <c r="B26" s="168"/>
      <c r="C26" s="82" t="s">
        <v>73</v>
      </c>
      <c r="D26" s="83"/>
      <c r="E26" s="83"/>
      <c r="F26" s="84" t="s">
        <v>74</v>
      </c>
      <c r="G26" s="84" t="s">
        <v>75</v>
      </c>
      <c r="H26" s="84" t="s">
        <v>71</v>
      </c>
      <c r="I26" s="84"/>
      <c r="J26" s="85"/>
      <c r="K26" s="86" t="s">
        <v>72</v>
      </c>
    </row>
    <row r="27" spans="1:11">
      <c r="A27" s="78"/>
      <c r="B27" s="168"/>
      <c r="C27" s="82"/>
      <c r="D27" s="83"/>
      <c r="E27" s="83"/>
      <c r="F27" s="84" t="s">
        <v>76</v>
      </c>
      <c r="G27" s="84"/>
      <c r="H27" s="84" t="s">
        <v>71</v>
      </c>
      <c r="I27" s="84"/>
      <c r="J27" s="85"/>
      <c r="K27" s="86" t="s">
        <v>72</v>
      </c>
    </row>
    <row r="28" spans="1:11">
      <c r="A28" s="164" t="s">
        <v>77</v>
      </c>
      <c r="B28" s="168"/>
      <c r="C28" s="32" t="s">
        <v>78</v>
      </c>
      <c r="D28" s="22"/>
      <c r="E28" s="22"/>
      <c r="F28" s="32" t="s">
        <v>79</v>
      </c>
      <c r="G28" s="32" t="s">
        <v>78</v>
      </c>
      <c r="H28" s="21" t="s">
        <v>21</v>
      </c>
      <c r="I28" s="1"/>
      <c r="J28" s="1"/>
      <c r="K28" s="24"/>
    </row>
    <row r="29" spans="1:11">
      <c r="A29" s="164"/>
      <c r="B29" s="168"/>
      <c r="C29" s="32" t="s">
        <v>80</v>
      </c>
      <c r="D29" s="31"/>
      <c r="E29" s="31"/>
      <c r="F29" s="32" t="s">
        <v>81</v>
      </c>
      <c r="G29" s="32" t="s">
        <v>80</v>
      </c>
      <c r="H29" s="21" t="s">
        <v>21</v>
      </c>
      <c r="I29" s="23"/>
      <c r="J29" s="23"/>
      <c r="K29" s="33"/>
    </row>
    <row r="30" spans="1:11" ht="18.75" customHeight="1">
      <c r="A30" s="164"/>
      <c r="B30" s="168"/>
      <c r="C30" s="32" t="s">
        <v>82</v>
      </c>
      <c r="D30" s="22"/>
      <c r="E30" s="22"/>
      <c r="F30" s="32" t="s">
        <v>83</v>
      </c>
      <c r="G30" s="32" t="s">
        <v>82</v>
      </c>
      <c r="H30" s="21" t="s">
        <v>21</v>
      </c>
      <c r="I30" s="23"/>
      <c r="J30" s="23"/>
      <c r="K30" s="33"/>
    </row>
    <row r="31" spans="1:11" ht="18.75" customHeight="1">
      <c r="A31" s="164"/>
      <c r="B31" s="168"/>
      <c r="C31" s="32" t="s">
        <v>84</v>
      </c>
      <c r="D31" s="31"/>
      <c r="E31" s="31"/>
      <c r="F31" s="32" t="s">
        <v>85</v>
      </c>
      <c r="G31" s="32" t="s">
        <v>84</v>
      </c>
      <c r="H31" s="21" t="s">
        <v>21</v>
      </c>
      <c r="I31" s="23"/>
      <c r="J31" s="23"/>
      <c r="K31" s="33"/>
    </row>
    <row r="32" spans="1:11" ht="18.75" customHeight="1">
      <c r="A32" s="164"/>
      <c r="B32" s="168"/>
      <c r="C32" s="32" t="s">
        <v>86</v>
      </c>
      <c r="D32" s="31"/>
      <c r="E32" s="31"/>
      <c r="F32" s="32" t="s">
        <v>87</v>
      </c>
      <c r="G32" s="32" t="s">
        <v>86</v>
      </c>
      <c r="H32" s="21" t="s">
        <v>21</v>
      </c>
      <c r="I32" s="23"/>
      <c r="J32" s="23"/>
      <c r="K32" s="33"/>
    </row>
    <row r="33" spans="1:14">
      <c r="A33" s="164"/>
      <c r="B33" s="168"/>
      <c r="C33" s="32" t="s">
        <v>88</v>
      </c>
      <c r="D33" s="22"/>
      <c r="E33" s="22"/>
      <c r="F33" s="32" t="s">
        <v>89</v>
      </c>
      <c r="G33" s="32" t="s">
        <v>88</v>
      </c>
      <c r="H33" s="21" t="s">
        <v>21</v>
      </c>
      <c r="I33" s="1"/>
      <c r="J33" s="1"/>
      <c r="K33" s="24"/>
    </row>
    <row r="34" spans="1:14">
      <c r="A34" s="164"/>
      <c r="B34" s="168"/>
      <c r="C34" s="32" t="s">
        <v>90</v>
      </c>
      <c r="D34" s="31"/>
      <c r="E34" s="31"/>
      <c r="F34" s="32" t="s">
        <v>91</v>
      </c>
      <c r="G34" s="32" t="s">
        <v>90</v>
      </c>
      <c r="H34" s="21" t="s">
        <v>21</v>
      </c>
      <c r="I34" s="23"/>
      <c r="J34" s="23"/>
      <c r="K34" s="33"/>
    </row>
    <row r="35" spans="1:14" ht="18.75" customHeight="1">
      <c r="A35" s="164"/>
      <c r="B35" s="168"/>
      <c r="C35" s="32" t="s">
        <v>92</v>
      </c>
      <c r="D35" s="22"/>
      <c r="E35" s="22"/>
      <c r="F35" s="32" t="s">
        <v>93</v>
      </c>
      <c r="G35" s="32" t="s">
        <v>92</v>
      </c>
      <c r="H35" s="21" t="s">
        <v>21</v>
      </c>
      <c r="I35" s="23"/>
      <c r="J35" s="23"/>
      <c r="K35" s="33"/>
    </row>
    <row r="36" spans="1:14" ht="18.75" customHeight="1">
      <c r="A36" s="164"/>
      <c r="B36" s="168"/>
      <c r="C36" s="32" t="s">
        <v>94</v>
      </c>
      <c r="D36" s="31"/>
      <c r="E36" s="31"/>
      <c r="F36" s="32" t="s">
        <v>95</v>
      </c>
      <c r="G36" s="32" t="s">
        <v>94</v>
      </c>
      <c r="H36" s="21" t="s">
        <v>21</v>
      </c>
      <c r="I36" s="23"/>
      <c r="J36" s="23"/>
      <c r="K36" s="33"/>
    </row>
    <row r="37" spans="1:14" ht="18.75" customHeight="1">
      <c r="A37" s="164"/>
      <c r="B37" s="169"/>
      <c r="C37" s="32" t="s">
        <v>96</v>
      </c>
      <c r="D37" s="31"/>
      <c r="E37" s="31"/>
      <c r="F37" s="32" t="s">
        <v>97</v>
      </c>
      <c r="G37" s="32" t="s">
        <v>96</v>
      </c>
      <c r="H37" s="21" t="s">
        <v>21</v>
      </c>
      <c r="I37" s="23"/>
      <c r="J37" s="23"/>
      <c r="K37" s="33"/>
    </row>
    <row r="38" spans="1:14">
      <c r="A38" s="164"/>
      <c r="B38" s="167" t="s">
        <v>98</v>
      </c>
      <c r="C38" s="21" t="str">
        <f>"common_"&amp;SUBSTITUTE(LOWER(TRIM(G38))," ","_")</f>
        <v>common_data_type</v>
      </c>
      <c r="D38" s="22"/>
      <c r="E38" s="22"/>
      <c r="F38" s="21" t="s">
        <v>99</v>
      </c>
      <c r="G38" s="21" t="s">
        <v>100</v>
      </c>
      <c r="H38" s="21" t="s">
        <v>21</v>
      </c>
      <c r="I38" s="23"/>
      <c r="J38" s="23"/>
      <c r="K38" s="24" t="s">
        <v>101</v>
      </c>
      <c r="N38" s="37"/>
    </row>
    <row r="39" spans="1:14">
      <c r="A39" s="164"/>
      <c r="B39" s="168"/>
      <c r="C39" s="21" t="str">
        <f t="shared" ref="C39:C41" si="3">"common_"&amp;SUBSTITUTE(LOWER(TRIM(G39))," ","_")</f>
        <v>common_data_origin</v>
      </c>
      <c r="D39" s="22"/>
      <c r="E39" s="22"/>
      <c r="F39" s="21" t="s">
        <v>102</v>
      </c>
      <c r="G39" s="21" t="s">
        <v>103</v>
      </c>
      <c r="H39" s="21" t="s">
        <v>21</v>
      </c>
      <c r="I39" s="23"/>
      <c r="J39" s="23"/>
      <c r="K39" s="24" t="s">
        <v>104</v>
      </c>
      <c r="N39" s="37"/>
    </row>
    <row r="40" spans="1:14">
      <c r="A40" s="164"/>
      <c r="B40" s="168"/>
      <c r="C40" s="21" t="str">
        <f t="shared" si="3"/>
        <v>common_technical_category</v>
      </c>
      <c r="D40" s="22"/>
      <c r="E40" s="22"/>
      <c r="F40" s="21" t="s">
        <v>105</v>
      </c>
      <c r="G40" s="21" t="s">
        <v>106</v>
      </c>
      <c r="H40" s="21" t="s">
        <v>21</v>
      </c>
      <c r="I40" s="23"/>
      <c r="J40" s="23"/>
      <c r="K40" s="24" t="s">
        <v>107</v>
      </c>
      <c r="N40" s="37"/>
    </row>
    <row r="41" spans="1:14">
      <c r="A41" s="164"/>
      <c r="B41" s="169"/>
      <c r="C41" s="21" t="str">
        <f t="shared" si="3"/>
        <v>common_reference</v>
      </c>
      <c r="D41" s="22"/>
      <c r="E41" s="22"/>
      <c r="F41" s="21" t="s">
        <v>108</v>
      </c>
      <c r="G41" s="21" t="s">
        <v>109</v>
      </c>
      <c r="H41" s="21" t="s">
        <v>21</v>
      </c>
      <c r="I41" s="23"/>
      <c r="J41" s="23"/>
      <c r="K41" s="24"/>
      <c r="N41" s="37"/>
    </row>
    <row r="42" spans="1:14">
      <c r="A42" s="164"/>
      <c r="B42" s="161" t="s">
        <v>110</v>
      </c>
      <c r="C42" s="21" t="str">
        <f>"measurement_"&amp;SUBSTITUTE(LOWER(TRIM(G42))," ","_")</f>
        <v>measurement_method_category</v>
      </c>
      <c r="D42" s="22"/>
      <c r="E42" s="22"/>
      <c r="F42" s="21" t="s">
        <v>111</v>
      </c>
      <c r="G42" s="21" t="s">
        <v>112</v>
      </c>
      <c r="H42" s="21" t="s">
        <v>21</v>
      </c>
      <c r="I42" s="23"/>
      <c r="J42" s="23"/>
      <c r="K42" s="24" t="s">
        <v>113</v>
      </c>
      <c r="N42" s="37"/>
    </row>
    <row r="43" spans="1:14">
      <c r="A43" s="165"/>
      <c r="B43" s="167"/>
      <c r="C43" s="39" t="str">
        <f t="shared" ref="C43:C49" si="4">"measurement_"&amp;SUBSTITUTE(LOWER(TRIM(G43))," ","_")</f>
        <v>measurement_method_sub-category</v>
      </c>
      <c r="D43" s="40"/>
      <c r="E43" s="40"/>
      <c r="F43" s="39" t="s">
        <v>114</v>
      </c>
      <c r="G43" s="39" t="s">
        <v>115</v>
      </c>
      <c r="H43" s="21" t="s">
        <v>21</v>
      </c>
      <c r="I43" s="38"/>
      <c r="J43" s="38"/>
      <c r="K43" s="79" t="s">
        <v>116</v>
      </c>
      <c r="L43" s="37" t="s">
        <v>117</v>
      </c>
      <c r="N43" s="37"/>
    </row>
    <row r="44" spans="1:14">
      <c r="A44" s="165"/>
      <c r="B44" s="167"/>
      <c r="C44" s="39" t="str">
        <f t="shared" si="4"/>
        <v>measurement_analysis_field</v>
      </c>
      <c r="D44" s="40"/>
      <c r="E44" s="40"/>
      <c r="F44" s="39" t="s">
        <v>118</v>
      </c>
      <c r="G44" s="39" t="s">
        <v>119</v>
      </c>
      <c r="H44" s="21" t="s">
        <v>21</v>
      </c>
      <c r="I44" s="38"/>
      <c r="J44" s="38"/>
      <c r="K44" s="24" t="s">
        <v>120</v>
      </c>
      <c r="N44" s="37"/>
    </row>
    <row r="45" spans="1:14">
      <c r="A45" s="165"/>
      <c r="B45" s="167"/>
      <c r="C45" s="39" t="str">
        <f t="shared" si="4"/>
        <v>measurement_measurement_environment</v>
      </c>
      <c r="D45" s="40"/>
      <c r="E45" s="40"/>
      <c r="F45" s="39" t="s">
        <v>121</v>
      </c>
      <c r="G45" s="39" t="s">
        <v>122</v>
      </c>
      <c r="H45" s="21" t="s">
        <v>21</v>
      </c>
      <c r="I45" s="38"/>
      <c r="J45" s="38"/>
      <c r="K45" s="41"/>
      <c r="N45" s="37"/>
    </row>
    <row r="46" spans="1:14">
      <c r="A46" s="165"/>
      <c r="B46" s="167"/>
      <c r="C46" s="39" t="str">
        <f t="shared" si="4"/>
        <v>measurement_energy_level_transition_structure_etc._of_interest</v>
      </c>
      <c r="D46" s="40"/>
      <c r="E46" s="40"/>
      <c r="F46" s="39" t="s">
        <v>123</v>
      </c>
      <c r="G46" s="39" t="s">
        <v>124</v>
      </c>
      <c r="H46" s="21" t="s">
        <v>21</v>
      </c>
      <c r="I46" s="38"/>
      <c r="J46" s="38"/>
      <c r="K46" s="87"/>
      <c r="L46" s="37" t="s">
        <v>125</v>
      </c>
      <c r="N46" s="37"/>
    </row>
    <row r="47" spans="1:14">
      <c r="A47" s="165"/>
      <c r="B47" s="167"/>
      <c r="C47" s="39" t="str">
        <f t="shared" si="4"/>
        <v>measurement_measured_date</v>
      </c>
      <c r="D47" s="40"/>
      <c r="E47" s="40"/>
      <c r="F47" s="39" t="s">
        <v>126</v>
      </c>
      <c r="G47" s="39" t="s">
        <v>127</v>
      </c>
      <c r="H47" s="39" t="s">
        <v>128</v>
      </c>
      <c r="I47" s="38"/>
      <c r="J47" s="38"/>
      <c r="K47" s="41"/>
      <c r="N47" s="37"/>
    </row>
    <row r="48" spans="1:14">
      <c r="A48" s="165"/>
      <c r="B48" s="167"/>
      <c r="C48" s="39" t="str">
        <f t="shared" si="4"/>
        <v>measurement_standardized_procedure</v>
      </c>
      <c r="D48" s="40"/>
      <c r="E48" s="40"/>
      <c r="F48" s="39" t="s">
        <v>129</v>
      </c>
      <c r="G48" s="39" t="s">
        <v>130</v>
      </c>
      <c r="H48" s="39" t="s">
        <v>21</v>
      </c>
      <c r="I48" s="38"/>
      <c r="J48" s="38"/>
      <c r="K48" s="41"/>
      <c r="N48" s="37"/>
    </row>
    <row r="49" spans="1:14" ht="19.5" thickBot="1">
      <c r="A49" s="166"/>
      <c r="B49" s="163"/>
      <c r="C49" s="25" t="str">
        <f t="shared" si="4"/>
        <v>measurement_instrumentation_site</v>
      </c>
      <c r="D49" s="26"/>
      <c r="E49" s="26"/>
      <c r="F49" s="25" t="s">
        <v>131</v>
      </c>
      <c r="G49" s="25" t="s">
        <v>132</v>
      </c>
      <c r="H49" s="25" t="s">
        <v>21</v>
      </c>
      <c r="I49" s="27"/>
      <c r="J49" s="27"/>
      <c r="K49" s="2"/>
      <c r="N49" s="37"/>
    </row>
    <row r="50" spans="1:14" ht="19.5">
      <c r="G50" s="42"/>
    </row>
  </sheetData>
  <mergeCells count="7">
    <mergeCell ref="A5:B10"/>
    <mergeCell ref="A28:A49"/>
    <mergeCell ref="B38:B41"/>
    <mergeCell ref="B42:B49"/>
    <mergeCell ref="B11:B24"/>
    <mergeCell ref="A11:A24"/>
    <mergeCell ref="B25:B37"/>
  </mergeCells>
  <phoneticPr fontId="2"/>
  <conditionalFormatting sqref="K5:K10">
    <cfRule type="expression" dxfId="17" priority="17">
      <formula>#REF!=1</formula>
    </cfRule>
    <cfRule type="expression" dxfId="16" priority="18">
      <formula>#REF!=1</formula>
    </cfRule>
  </conditionalFormatting>
  <conditionalFormatting sqref="K28">
    <cfRule type="expression" dxfId="15" priority="5">
      <formula>#REF!=1</formula>
    </cfRule>
    <cfRule type="expression" dxfId="14" priority="6">
      <formula>#REF!=1</formula>
    </cfRule>
  </conditionalFormatting>
  <conditionalFormatting sqref="K33">
    <cfRule type="expression" dxfId="13" priority="1">
      <formula>#REF!=1</formula>
    </cfRule>
    <cfRule type="expression" dxfId="12" priority="2">
      <formula>#REF!=1</formula>
    </cfRule>
  </conditionalFormatting>
  <conditionalFormatting sqref="K38:K49">
    <cfRule type="expression" dxfId="11" priority="3">
      <formula>#REF!=1</formula>
    </cfRule>
    <cfRule type="expression" dxfId="10" priority="4">
      <formula>#REF!=1</formula>
    </cfRule>
  </conditionalFormatting>
  <dataValidations count="2">
    <dataValidation type="list" allowBlank="1" showInputMessage="1" showErrorMessage="1" sqref="I24:I27 H5:H49" xr:uid="{2CD015C8-BE30-4324-AA8D-82B0B398A062}">
      <formula1>"string,string[date],number,integer"</formula1>
    </dataValidation>
    <dataValidation type="list" allowBlank="1" showInputMessage="1" showErrorMessage="1" sqref="K5" xr:uid="{33CC998B-E5D0-4314-BAC3-BFC6DFF99024}">
      <formula1>#REF!</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DC52-1465-48EE-B128-D5659D10F49E}">
  <dimension ref="A1:L39"/>
  <sheetViews>
    <sheetView topLeftCell="A7" zoomScale="80" zoomScaleNormal="80" workbookViewId="0">
      <selection activeCell="I32" sqref="I32"/>
    </sheetView>
  </sheetViews>
  <sheetFormatPr defaultColWidth="9" defaultRowHeight="18.75"/>
  <cols>
    <col min="1" max="1" width="16.125" style="3" bestFit="1" customWidth="1"/>
    <col min="2" max="3" width="33.125" style="3" customWidth="1"/>
    <col min="4" max="4" width="9.375" style="3" customWidth="1"/>
    <col min="5" max="6" width="33.125" style="3" customWidth="1"/>
    <col min="7" max="8" width="13.125" style="3" customWidth="1"/>
    <col min="9" max="11" width="33.125" style="3" customWidth="1"/>
    <col min="12" max="12" width="44.125" style="3" customWidth="1"/>
    <col min="13" max="16384" width="9" style="3"/>
  </cols>
  <sheetData>
    <row r="1" spans="1:11">
      <c r="A1" s="3" t="s">
        <v>133</v>
      </c>
      <c r="B1" s="3" t="s">
        <v>1</v>
      </c>
      <c r="C1" s="3" t="s">
        <v>134</v>
      </c>
      <c r="E1" s="3" t="s">
        <v>2</v>
      </c>
      <c r="F1" s="3" t="s">
        <v>3</v>
      </c>
      <c r="G1" s="6" t="s">
        <v>4</v>
      </c>
      <c r="H1" s="3" t="s">
        <v>5</v>
      </c>
      <c r="I1" s="3" t="s">
        <v>6</v>
      </c>
      <c r="J1" s="6" t="s">
        <v>7</v>
      </c>
    </row>
    <row r="2" spans="1:11" ht="112.5">
      <c r="B2" s="43" t="s">
        <v>135</v>
      </c>
      <c r="C2" s="44" t="s">
        <v>136</v>
      </c>
      <c r="D2" s="43" t="s">
        <v>137</v>
      </c>
      <c r="E2" s="44" t="s">
        <v>11</v>
      </c>
      <c r="F2" s="44" t="s">
        <v>138</v>
      </c>
      <c r="G2" s="43" t="s">
        <v>13</v>
      </c>
      <c r="H2" s="45" t="s">
        <v>14</v>
      </c>
      <c r="I2" s="45" t="s">
        <v>15</v>
      </c>
      <c r="J2" s="46" t="s">
        <v>16</v>
      </c>
      <c r="K2" s="47" t="s">
        <v>139</v>
      </c>
    </row>
    <row r="3" spans="1:11" ht="19.5">
      <c r="A3" s="177" t="s">
        <v>140</v>
      </c>
      <c r="B3" s="48" t="s">
        <v>141</v>
      </c>
      <c r="C3" s="23" t="s">
        <v>142</v>
      </c>
      <c r="D3" s="23"/>
      <c r="E3" s="21" t="s">
        <v>142</v>
      </c>
      <c r="F3" s="21" t="s">
        <v>142</v>
      </c>
      <c r="G3" s="23" t="s">
        <v>21</v>
      </c>
      <c r="H3" s="49"/>
      <c r="I3" s="23"/>
      <c r="J3" s="50"/>
      <c r="K3" s="23"/>
    </row>
    <row r="4" spans="1:11" ht="19.5">
      <c r="A4" s="178"/>
      <c r="B4" s="48" t="s">
        <v>143</v>
      </c>
      <c r="C4" s="23" t="s">
        <v>144</v>
      </c>
      <c r="D4" s="23"/>
      <c r="E4" s="21" t="s">
        <v>144</v>
      </c>
      <c r="F4" s="21" t="s">
        <v>144</v>
      </c>
      <c r="G4" s="23" t="s">
        <v>21</v>
      </c>
      <c r="H4" s="49"/>
      <c r="I4" s="23"/>
      <c r="J4" s="50"/>
      <c r="K4" s="23"/>
    </row>
    <row r="5" spans="1:11" ht="19.5">
      <c r="A5" s="178"/>
      <c r="B5" s="48" t="s">
        <v>145</v>
      </c>
      <c r="C5" s="23" t="s">
        <v>146</v>
      </c>
      <c r="D5" s="23"/>
      <c r="E5" s="21" t="s">
        <v>147</v>
      </c>
      <c r="F5" s="21" t="s">
        <v>146</v>
      </c>
      <c r="G5" s="23" t="s">
        <v>21</v>
      </c>
      <c r="H5" s="49"/>
      <c r="I5" s="23"/>
      <c r="J5" s="50"/>
      <c r="K5" s="23"/>
    </row>
    <row r="6" spans="1:11" ht="19.5">
      <c r="A6" s="178"/>
      <c r="B6" s="48" t="s">
        <v>148</v>
      </c>
      <c r="C6" s="23" t="s">
        <v>149</v>
      </c>
      <c r="D6" s="23"/>
      <c r="E6" s="21" t="s">
        <v>150</v>
      </c>
      <c r="F6" s="21" t="s">
        <v>149</v>
      </c>
      <c r="G6" s="23" t="s">
        <v>21</v>
      </c>
      <c r="H6" s="49"/>
      <c r="I6" s="23"/>
      <c r="J6" s="50"/>
      <c r="K6" s="23"/>
    </row>
    <row r="7" spans="1:11" ht="19.5">
      <c r="A7" s="178"/>
      <c r="B7" s="48" t="s">
        <v>151</v>
      </c>
      <c r="C7" s="23" t="s">
        <v>152</v>
      </c>
      <c r="D7" s="23"/>
      <c r="E7" s="21" t="s">
        <v>153</v>
      </c>
      <c r="F7" s="21" t="s">
        <v>152</v>
      </c>
      <c r="G7" s="23" t="s">
        <v>21</v>
      </c>
      <c r="H7" s="49"/>
      <c r="I7" s="23"/>
      <c r="J7" s="50"/>
      <c r="K7" s="23"/>
    </row>
    <row r="8" spans="1:11" ht="19.5">
      <c r="A8" s="178"/>
      <c r="B8" s="48" t="s">
        <v>154</v>
      </c>
      <c r="C8" s="23" t="s">
        <v>155</v>
      </c>
      <c r="D8" s="23"/>
      <c r="E8" s="21" t="s">
        <v>156</v>
      </c>
      <c r="F8" s="21" t="s">
        <v>155</v>
      </c>
      <c r="G8" s="23" t="s">
        <v>21</v>
      </c>
      <c r="H8" s="49"/>
      <c r="I8" s="23"/>
      <c r="J8" s="50"/>
      <c r="K8" s="23"/>
    </row>
    <row r="9" spans="1:11" ht="19.5">
      <c r="A9" s="178"/>
      <c r="B9" s="48" t="s">
        <v>157</v>
      </c>
      <c r="C9" s="23" t="s">
        <v>158</v>
      </c>
      <c r="D9" s="23"/>
      <c r="E9" s="21" t="s">
        <v>159</v>
      </c>
      <c r="F9" s="21" t="s">
        <v>158</v>
      </c>
      <c r="G9" s="23" t="s">
        <v>21</v>
      </c>
      <c r="H9" s="49"/>
      <c r="I9" s="23"/>
      <c r="J9" s="50"/>
      <c r="K9" s="23"/>
    </row>
    <row r="10" spans="1:11" ht="19.5">
      <c r="A10" s="178"/>
      <c r="B10" s="48" t="s">
        <v>160</v>
      </c>
      <c r="C10" s="23" t="s">
        <v>161</v>
      </c>
      <c r="D10" s="23"/>
      <c r="E10" s="21" t="s">
        <v>162</v>
      </c>
      <c r="F10" s="21" t="s">
        <v>161</v>
      </c>
      <c r="G10" s="23" t="s">
        <v>21</v>
      </c>
      <c r="H10" s="49" t="s">
        <v>163</v>
      </c>
      <c r="I10" s="23"/>
      <c r="J10" s="50"/>
      <c r="K10" s="23"/>
    </row>
    <row r="11" spans="1:11" ht="19.5">
      <c r="A11" s="178"/>
      <c r="B11" s="48" t="s">
        <v>164</v>
      </c>
      <c r="C11" s="23" t="s">
        <v>165</v>
      </c>
      <c r="D11" s="23"/>
      <c r="E11" s="21" t="s">
        <v>166</v>
      </c>
      <c r="F11" s="21" t="s">
        <v>165</v>
      </c>
      <c r="G11" s="23" t="s">
        <v>21</v>
      </c>
      <c r="H11" s="49"/>
      <c r="I11" s="23"/>
      <c r="J11" s="50"/>
      <c r="K11" s="23"/>
    </row>
    <row r="12" spans="1:11" ht="19.5">
      <c r="A12" s="178"/>
      <c r="B12" s="48" t="s">
        <v>167</v>
      </c>
      <c r="C12" s="23" t="s">
        <v>168</v>
      </c>
      <c r="D12" s="23"/>
      <c r="E12" s="21" t="s">
        <v>169</v>
      </c>
      <c r="F12" s="21" t="s">
        <v>168</v>
      </c>
      <c r="G12" s="23" t="s">
        <v>21</v>
      </c>
      <c r="H12" s="51"/>
      <c r="I12" s="23"/>
      <c r="J12" s="50"/>
      <c r="K12" s="23"/>
    </row>
    <row r="13" spans="1:11" ht="19.5">
      <c r="A13" s="178"/>
      <c r="B13" s="48" t="s">
        <v>170</v>
      </c>
      <c r="C13" s="23" t="s">
        <v>171</v>
      </c>
      <c r="D13" s="23"/>
      <c r="E13" s="21" t="s">
        <v>172</v>
      </c>
      <c r="F13" s="21" t="s">
        <v>171</v>
      </c>
      <c r="G13" s="23" t="s">
        <v>21</v>
      </c>
      <c r="H13" s="49"/>
      <c r="I13" s="52"/>
      <c r="J13" s="53"/>
      <c r="K13" s="52"/>
    </row>
    <row r="14" spans="1:11" ht="19.5">
      <c r="A14" s="178"/>
      <c r="B14" s="54" t="s">
        <v>173</v>
      </c>
      <c r="C14" s="55" t="s">
        <v>174</v>
      </c>
      <c r="D14" s="56"/>
      <c r="E14" s="57" t="s">
        <v>175</v>
      </c>
      <c r="F14" s="57" t="s">
        <v>174</v>
      </c>
      <c r="G14" s="23" t="s">
        <v>21</v>
      </c>
      <c r="H14" s="51"/>
      <c r="I14" s="52"/>
      <c r="J14" s="53"/>
      <c r="K14" s="52"/>
    </row>
    <row r="15" spans="1:11" ht="19.5">
      <c r="A15" s="178"/>
      <c r="B15" s="48" t="s">
        <v>176</v>
      </c>
      <c r="C15" s="58" t="s">
        <v>177</v>
      </c>
      <c r="D15" s="21"/>
      <c r="E15" s="21" t="s">
        <v>178</v>
      </c>
      <c r="F15" s="21" t="s">
        <v>177</v>
      </c>
      <c r="G15" s="23" t="s">
        <v>21</v>
      </c>
      <c r="H15" s="59"/>
      <c r="I15" s="23"/>
      <c r="J15" s="50"/>
      <c r="K15" s="23"/>
    </row>
    <row r="16" spans="1:11" ht="19.5">
      <c r="A16" s="178"/>
      <c r="B16" s="48" t="s">
        <v>179</v>
      </c>
      <c r="C16" s="32" t="s">
        <v>180</v>
      </c>
      <c r="D16" s="60"/>
      <c r="E16" s="32" t="s">
        <v>181</v>
      </c>
      <c r="F16" s="32" t="s">
        <v>180</v>
      </c>
      <c r="G16" s="23" t="s">
        <v>21</v>
      </c>
      <c r="H16" s="59"/>
      <c r="I16" s="23"/>
      <c r="J16" s="50"/>
      <c r="K16" s="23"/>
    </row>
    <row r="17" spans="1:12" ht="19.5">
      <c r="A17" s="178"/>
      <c r="B17" s="48" t="s">
        <v>182</v>
      </c>
      <c r="C17" s="32" t="s">
        <v>183</v>
      </c>
      <c r="D17" s="60"/>
      <c r="E17" s="32" t="s">
        <v>184</v>
      </c>
      <c r="F17" s="32" t="s">
        <v>183</v>
      </c>
      <c r="G17" s="23" t="s">
        <v>21</v>
      </c>
      <c r="H17" s="59"/>
      <c r="I17" s="23"/>
      <c r="J17" s="50"/>
      <c r="K17" s="23"/>
    </row>
    <row r="18" spans="1:12" ht="19.5">
      <c r="A18" s="178"/>
      <c r="B18" s="48" t="s">
        <v>185</v>
      </c>
      <c r="C18" s="32" t="s">
        <v>186</v>
      </c>
      <c r="D18" s="60"/>
      <c r="E18" s="32" t="s">
        <v>187</v>
      </c>
      <c r="F18" s="32" t="s">
        <v>186</v>
      </c>
      <c r="G18" s="23" t="s">
        <v>21</v>
      </c>
      <c r="H18" s="59"/>
      <c r="I18" s="23"/>
      <c r="J18" s="50"/>
      <c r="K18" s="23"/>
    </row>
    <row r="19" spans="1:12" ht="19.5">
      <c r="A19" s="178"/>
      <c r="B19" s="48" t="s">
        <v>188</v>
      </c>
      <c r="C19" s="32" t="s">
        <v>189</v>
      </c>
      <c r="D19" s="60"/>
      <c r="E19" s="32" t="s">
        <v>190</v>
      </c>
      <c r="F19" s="32" t="s">
        <v>189</v>
      </c>
      <c r="G19" s="23" t="s">
        <v>21</v>
      </c>
      <c r="H19" s="59"/>
      <c r="I19" s="21"/>
      <c r="J19" s="50"/>
      <c r="K19" s="21"/>
    </row>
    <row r="20" spans="1:12" ht="19.5">
      <c r="A20" s="178"/>
      <c r="B20" s="48" t="s">
        <v>191</v>
      </c>
      <c r="C20" s="32" t="s">
        <v>192</v>
      </c>
      <c r="D20" s="60"/>
      <c r="E20" s="32" t="s">
        <v>193</v>
      </c>
      <c r="F20" s="32" t="s">
        <v>192</v>
      </c>
      <c r="G20" s="23" t="s">
        <v>21</v>
      </c>
      <c r="H20" s="59"/>
      <c r="I20" s="21"/>
      <c r="J20" s="50"/>
      <c r="K20" s="21"/>
    </row>
    <row r="21" spans="1:12" ht="19.5">
      <c r="A21" s="178"/>
      <c r="B21" s="48" t="s">
        <v>194</v>
      </c>
      <c r="C21" s="21" t="s">
        <v>195</v>
      </c>
      <c r="D21" s="23"/>
      <c r="E21" s="21" t="s">
        <v>196</v>
      </c>
      <c r="F21" s="21" t="s">
        <v>195</v>
      </c>
      <c r="G21" s="23" t="s">
        <v>21</v>
      </c>
      <c r="H21" s="59"/>
      <c r="I21" s="21"/>
      <c r="J21" s="50"/>
      <c r="K21" s="21"/>
    </row>
    <row r="22" spans="1:12" ht="19.5">
      <c r="A22" s="178"/>
      <c r="B22" s="48" t="s">
        <v>197</v>
      </c>
      <c r="C22" s="21" t="s">
        <v>198</v>
      </c>
      <c r="D22" s="23"/>
      <c r="E22" s="21" t="s">
        <v>199</v>
      </c>
      <c r="F22" s="21" t="s">
        <v>198</v>
      </c>
      <c r="G22" s="23" t="s">
        <v>200</v>
      </c>
      <c r="H22" s="49" t="s">
        <v>201</v>
      </c>
      <c r="I22" s="21"/>
      <c r="J22" s="50"/>
      <c r="K22" s="21"/>
    </row>
    <row r="23" spans="1:12" ht="19.5">
      <c r="A23" s="178"/>
      <c r="B23" s="48" t="s">
        <v>202</v>
      </c>
      <c r="C23" s="23" t="s">
        <v>203</v>
      </c>
      <c r="D23" s="23"/>
      <c r="E23" s="21" t="s">
        <v>204</v>
      </c>
      <c r="F23" s="32" t="s">
        <v>203</v>
      </c>
      <c r="G23" s="23" t="s">
        <v>21</v>
      </c>
      <c r="H23" s="59"/>
      <c r="I23" s="23"/>
      <c r="J23" s="50"/>
      <c r="K23" s="23"/>
    </row>
    <row r="24" spans="1:12" ht="19.5">
      <c r="A24" s="178"/>
      <c r="B24" s="48" t="s">
        <v>205</v>
      </c>
      <c r="C24" s="23" t="s">
        <v>206</v>
      </c>
      <c r="D24" s="23"/>
      <c r="E24" s="61" t="s">
        <v>207</v>
      </c>
      <c r="F24" s="61" t="s">
        <v>206</v>
      </c>
      <c r="G24" s="23" t="s">
        <v>200</v>
      </c>
      <c r="H24" s="49"/>
      <c r="I24" s="23"/>
      <c r="J24" s="50"/>
      <c r="K24" s="23"/>
    </row>
    <row r="25" spans="1:12" ht="19.5">
      <c r="A25" s="178"/>
      <c r="B25" s="48" t="s">
        <v>208</v>
      </c>
      <c r="C25" s="23" t="s">
        <v>209</v>
      </c>
      <c r="D25" s="23"/>
      <c r="E25" s="21" t="s">
        <v>210</v>
      </c>
      <c r="F25" s="21" t="s">
        <v>209</v>
      </c>
      <c r="G25" s="23" t="s">
        <v>200</v>
      </c>
      <c r="H25" s="59"/>
      <c r="I25" s="23"/>
      <c r="J25" s="50"/>
      <c r="K25" s="23"/>
      <c r="L25" s="37" t="s">
        <v>211</v>
      </c>
    </row>
    <row r="26" spans="1:12" ht="19.5">
      <c r="A26" s="178"/>
      <c r="B26" s="48" t="s">
        <v>212</v>
      </c>
      <c r="C26" s="23" t="s">
        <v>213</v>
      </c>
      <c r="D26" s="23"/>
      <c r="E26" s="21" t="s">
        <v>214</v>
      </c>
      <c r="F26" s="21" t="s">
        <v>213</v>
      </c>
      <c r="G26" s="23" t="s">
        <v>21</v>
      </c>
      <c r="H26" s="59"/>
      <c r="I26" s="23"/>
      <c r="J26" s="50"/>
      <c r="K26" s="23"/>
    </row>
    <row r="27" spans="1:12" ht="19.5">
      <c r="A27" s="178"/>
      <c r="B27" s="48" t="s">
        <v>215</v>
      </c>
      <c r="C27" s="23" t="s">
        <v>216</v>
      </c>
      <c r="D27" s="23"/>
      <c r="E27" s="21" t="s">
        <v>217</v>
      </c>
      <c r="F27" s="21" t="s">
        <v>216</v>
      </c>
      <c r="G27" s="23" t="s">
        <v>200</v>
      </c>
      <c r="H27" s="59" t="s">
        <v>218</v>
      </c>
      <c r="I27" s="23"/>
      <c r="J27" s="76" t="s">
        <v>219</v>
      </c>
      <c r="K27" s="23"/>
      <c r="L27" s="88" t="s">
        <v>220</v>
      </c>
    </row>
    <row r="28" spans="1:12" ht="19.5">
      <c r="A28" s="178"/>
      <c r="B28" s="48" t="s">
        <v>221</v>
      </c>
      <c r="C28" s="23" t="s">
        <v>222</v>
      </c>
      <c r="D28" s="23"/>
      <c r="E28" s="61" t="s">
        <v>223</v>
      </c>
      <c r="F28" s="61" t="s">
        <v>222</v>
      </c>
      <c r="G28" s="23" t="s">
        <v>200</v>
      </c>
      <c r="H28" s="49" t="s">
        <v>224</v>
      </c>
      <c r="I28" s="23"/>
      <c r="J28" s="50"/>
      <c r="K28" s="23"/>
      <c r="L28" s="88" t="s">
        <v>220</v>
      </c>
    </row>
    <row r="29" spans="1:12" ht="19.5">
      <c r="A29" s="178"/>
      <c r="B29" s="48" t="s">
        <v>225</v>
      </c>
      <c r="C29" s="23" t="s">
        <v>226</v>
      </c>
      <c r="D29" s="23"/>
      <c r="E29" s="21" t="s">
        <v>227</v>
      </c>
      <c r="F29" s="21" t="s">
        <v>226</v>
      </c>
      <c r="G29" s="23" t="s">
        <v>21</v>
      </c>
      <c r="H29" s="49"/>
      <c r="I29" s="23"/>
      <c r="J29" s="50"/>
      <c r="K29" s="23"/>
    </row>
    <row r="30" spans="1:12" ht="19.5">
      <c r="A30" s="178"/>
      <c r="B30" s="48" t="s">
        <v>228</v>
      </c>
      <c r="C30" s="23" t="s">
        <v>229</v>
      </c>
      <c r="D30" s="23"/>
      <c r="E30" s="61" t="s">
        <v>230</v>
      </c>
      <c r="F30" s="61" t="s">
        <v>229</v>
      </c>
      <c r="G30" s="23" t="s">
        <v>21</v>
      </c>
      <c r="H30" s="59"/>
      <c r="I30" s="23"/>
      <c r="J30" s="50"/>
      <c r="K30" s="23"/>
    </row>
    <row r="31" spans="1:12" ht="19.5">
      <c r="A31" s="178"/>
      <c r="B31" s="48" t="s">
        <v>231</v>
      </c>
      <c r="C31" s="23" t="s">
        <v>232</v>
      </c>
      <c r="D31" s="23"/>
      <c r="E31" s="21" t="s">
        <v>233</v>
      </c>
      <c r="F31" s="21" t="s">
        <v>232</v>
      </c>
      <c r="G31" s="23" t="s">
        <v>21</v>
      </c>
      <c r="H31" s="59"/>
      <c r="I31" s="23"/>
      <c r="J31" s="50"/>
      <c r="K31" s="23"/>
    </row>
    <row r="32" spans="1:12" ht="19.5">
      <c r="A32" s="178"/>
      <c r="B32" s="48" t="s">
        <v>234</v>
      </c>
      <c r="C32" s="23" t="s">
        <v>235</v>
      </c>
      <c r="D32" s="23"/>
      <c r="E32" s="21" t="s">
        <v>236</v>
      </c>
      <c r="F32" s="21" t="s">
        <v>235</v>
      </c>
      <c r="G32" s="23" t="s">
        <v>21</v>
      </c>
      <c r="H32" s="59"/>
      <c r="I32" s="23"/>
      <c r="J32" s="50"/>
      <c r="K32" s="23"/>
    </row>
    <row r="33" spans="1:12" ht="19.5">
      <c r="A33" s="178"/>
      <c r="B33" s="48" t="s">
        <v>237</v>
      </c>
      <c r="C33" s="23" t="s">
        <v>238</v>
      </c>
      <c r="D33" s="23"/>
      <c r="E33" s="23" t="s">
        <v>239</v>
      </c>
      <c r="F33" s="23" t="s">
        <v>238</v>
      </c>
      <c r="G33" s="23" t="s">
        <v>21</v>
      </c>
      <c r="H33" s="49"/>
      <c r="I33" s="23"/>
      <c r="J33" s="50"/>
      <c r="K33" s="23"/>
    </row>
    <row r="34" spans="1:12" ht="19.5">
      <c r="A34" s="178"/>
      <c r="B34" s="48" t="s">
        <v>240</v>
      </c>
      <c r="C34" s="23" t="s">
        <v>241</v>
      </c>
      <c r="D34" s="23"/>
      <c r="E34" s="23" t="s">
        <v>242</v>
      </c>
      <c r="F34" s="23" t="s">
        <v>241</v>
      </c>
      <c r="G34" s="23" t="s">
        <v>21</v>
      </c>
      <c r="H34" s="49"/>
      <c r="I34" s="23"/>
      <c r="J34" s="50"/>
      <c r="K34" s="23"/>
    </row>
    <row r="35" spans="1:12" ht="19.5">
      <c r="A35" s="178"/>
      <c r="B35" s="48" t="s">
        <v>243</v>
      </c>
      <c r="C35" s="23" t="s">
        <v>244</v>
      </c>
      <c r="D35" s="23"/>
      <c r="E35" s="23" t="s">
        <v>245</v>
      </c>
      <c r="F35" s="23" t="s">
        <v>244</v>
      </c>
      <c r="G35" s="23" t="s">
        <v>21</v>
      </c>
      <c r="H35" s="21"/>
      <c r="I35" s="23"/>
      <c r="J35" s="50"/>
      <c r="K35" s="23"/>
    </row>
    <row r="36" spans="1:12" ht="19.5">
      <c r="A36" s="178"/>
      <c r="B36" s="48" t="s">
        <v>246</v>
      </c>
      <c r="C36" s="19"/>
      <c r="D36" s="23"/>
      <c r="E36" s="23" t="s">
        <v>247</v>
      </c>
      <c r="F36" s="23" t="s">
        <v>248</v>
      </c>
      <c r="G36" s="23" t="s">
        <v>249</v>
      </c>
      <c r="H36" s="21" t="s">
        <v>250</v>
      </c>
      <c r="I36" s="23"/>
      <c r="J36" s="50"/>
      <c r="K36" s="23" t="s">
        <v>251</v>
      </c>
    </row>
    <row r="37" spans="1:12" ht="19.5">
      <c r="A37" s="178"/>
      <c r="B37" s="48" t="s">
        <v>252</v>
      </c>
      <c r="C37" s="19"/>
      <c r="D37" s="23"/>
      <c r="E37" s="23" t="s">
        <v>253</v>
      </c>
      <c r="F37" s="23" t="s">
        <v>254</v>
      </c>
      <c r="G37" s="23" t="s">
        <v>249</v>
      </c>
      <c r="H37" s="21" t="s">
        <v>163</v>
      </c>
      <c r="I37" s="23"/>
      <c r="J37" s="50"/>
      <c r="K37" s="23" t="s">
        <v>255</v>
      </c>
    </row>
    <row r="38" spans="1:12" ht="19.5">
      <c r="A38" s="178"/>
      <c r="B38" s="48" t="s">
        <v>256</v>
      </c>
      <c r="C38" s="19"/>
      <c r="D38" s="23"/>
      <c r="E38" s="23" t="s">
        <v>257</v>
      </c>
      <c r="F38" s="23" t="s">
        <v>258</v>
      </c>
      <c r="G38" s="23" t="s">
        <v>249</v>
      </c>
      <c r="H38" s="21" t="s">
        <v>163</v>
      </c>
      <c r="I38" s="23"/>
      <c r="J38" s="50"/>
      <c r="K38" s="23" t="s">
        <v>259</v>
      </c>
    </row>
    <row r="39" spans="1:12" ht="37.5">
      <c r="A39" s="179"/>
      <c r="B39" s="48"/>
      <c r="C39" s="19"/>
      <c r="D39" s="23"/>
      <c r="E39" s="80" t="s">
        <v>260</v>
      </c>
      <c r="F39" s="80" t="s">
        <v>261</v>
      </c>
      <c r="G39" s="23" t="s">
        <v>249</v>
      </c>
      <c r="H39" s="81"/>
      <c r="I39" s="23"/>
      <c r="J39" s="50"/>
      <c r="K39" s="23" t="s">
        <v>262</v>
      </c>
      <c r="L39" s="77" t="s">
        <v>263</v>
      </c>
    </row>
  </sheetData>
  <mergeCells count="1">
    <mergeCell ref="A3:A39"/>
  </mergeCells>
  <phoneticPr fontId="2"/>
  <conditionalFormatting sqref="J3:J39">
    <cfRule type="expression" dxfId="9" priority="13">
      <formula>#REF!=1</formula>
    </cfRule>
    <cfRule type="expression" dxfId="8" priority="15">
      <formula>#REF!=1</formula>
    </cfRule>
  </conditionalFormatting>
  <dataValidations count="1">
    <dataValidation type="list" allowBlank="1" showInputMessage="1" showErrorMessage="1" sqref="H12:H39" xr:uid="{9EE0806E-5D31-4E31-8E5D-5FCFC8A311CF}">
      <formula1>"string,string[date],number,integer"</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AB2A-BE75-4524-8D89-1C70CA20E688}">
  <dimension ref="A1:E8"/>
  <sheetViews>
    <sheetView workbookViewId="0"/>
  </sheetViews>
  <sheetFormatPr defaultColWidth="8.875" defaultRowHeight="18.75"/>
  <cols>
    <col min="1" max="1" width="44.625" bestFit="1" customWidth="1"/>
    <col min="2" max="2" width="25.625" bestFit="1" customWidth="1"/>
    <col min="3" max="4" width="25.625" customWidth="1"/>
    <col min="5" max="5" width="25.625" bestFit="1" customWidth="1"/>
  </cols>
  <sheetData>
    <row r="1" spans="1:5">
      <c r="A1" s="98" t="s">
        <v>285</v>
      </c>
      <c r="C1" t="s">
        <v>467</v>
      </c>
    </row>
    <row r="2" spans="1:5">
      <c r="A2" s="99"/>
    </row>
    <row r="3" spans="1:5">
      <c r="A3" s="100" t="s">
        <v>591</v>
      </c>
      <c r="B3" s="100" t="s">
        <v>592</v>
      </c>
      <c r="C3" s="100" t="s">
        <v>593</v>
      </c>
      <c r="D3" s="100" t="s">
        <v>594</v>
      </c>
      <c r="E3" s="100" t="s">
        <v>601</v>
      </c>
    </row>
    <row r="4" spans="1:5">
      <c r="A4" s="101" t="s">
        <v>598</v>
      </c>
      <c r="B4" s="102" t="s">
        <v>595</v>
      </c>
      <c r="C4" s="102" t="s">
        <v>596</v>
      </c>
      <c r="D4" s="102"/>
      <c r="E4" s="104" t="s">
        <v>608</v>
      </c>
    </row>
    <row r="5" spans="1:5">
      <c r="A5" s="101" t="s">
        <v>604</v>
      </c>
      <c r="B5" s="103" t="s">
        <v>605</v>
      </c>
      <c r="C5" s="103" t="s">
        <v>606</v>
      </c>
      <c r="D5" s="103" t="s">
        <v>607</v>
      </c>
      <c r="E5" s="130" t="s">
        <v>609</v>
      </c>
    </row>
    <row r="6" spans="1:5">
      <c r="A6" s="129" t="s">
        <v>610</v>
      </c>
      <c r="B6" s="100" t="s">
        <v>599</v>
      </c>
      <c r="C6" s="100" t="s">
        <v>600</v>
      </c>
      <c r="D6" s="100" t="s">
        <v>599</v>
      </c>
      <c r="E6" s="100" t="s">
        <v>601</v>
      </c>
    </row>
    <row r="7" spans="1:5">
      <c r="B7" s="100" t="s">
        <v>9</v>
      </c>
      <c r="C7" s="100" t="s">
        <v>9</v>
      </c>
      <c r="D7" s="100" t="s">
        <v>602</v>
      </c>
      <c r="E7" s="100" t="s">
        <v>9</v>
      </c>
    </row>
    <row r="8" spans="1:5">
      <c r="B8" s="103" t="s">
        <v>603</v>
      </c>
      <c r="C8" s="103" t="s">
        <v>603</v>
      </c>
      <c r="D8" s="103" t="s">
        <v>603</v>
      </c>
      <c r="E8" s="104" t="s">
        <v>597</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E4CE-9366-40E8-8DF1-D4B9CF138C00}">
  <dimension ref="A1:N46"/>
  <sheetViews>
    <sheetView tabSelected="1" zoomScale="75" zoomScaleNormal="75" workbookViewId="0"/>
  </sheetViews>
  <sheetFormatPr defaultColWidth="9" defaultRowHeight="18.75"/>
  <cols>
    <col min="1" max="2" width="19" style="3" customWidth="1"/>
    <col min="3" max="3" width="50.875" style="3" customWidth="1"/>
    <col min="4" max="5" width="9" style="5" customWidth="1"/>
    <col min="6" max="7" width="37.875" style="3" customWidth="1"/>
    <col min="8" max="9" width="14.125" style="3" customWidth="1"/>
    <col min="10" max="10" width="14.125" style="3" hidden="1" customWidth="1"/>
    <col min="11" max="12" width="45.125" style="3" customWidth="1"/>
    <col min="13" max="14" width="9" style="3"/>
    <col min="15" max="15" width="3.125" style="3" customWidth="1"/>
    <col min="16" max="16384" width="9" style="3"/>
  </cols>
  <sheetData>
    <row r="1" spans="1:12">
      <c r="C1" s="4" t="s">
        <v>0</v>
      </c>
    </row>
    <row r="3" spans="1:12" ht="19.5" thickBot="1">
      <c r="C3" s="3" t="s">
        <v>1</v>
      </c>
      <c r="F3" s="3" t="s">
        <v>2</v>
      </c>
      <c r="G3" s="3" t="s">
        <v>3</v>
      </c>
      <c r="H3" s="6" t="s">
        <v>4</v>
      </c>
      <c r="I3" s="3" t="s">
        <v>5</v>
      </c>
      <c r="J3" s="3" t="s">
        <v>6</v>
      </c>
      <c r="K3" s="6" t="s">
        <v>7</v>
      </c>
      <c r="L3" s="6"/>
    </row>
    <row r="4" spans="1:12" ht="94.5" thickBot="1">
      <c r="A4" s="180"/>
      <c r="B4" s="180"/>
      <c r="C4" s="96" t="s">
        <v>8</v>
      </c>
      <c r="D4" s="8" t="s">
        <v>9</v>
      </c>
      <c r="E4" s="8" t="s">
        <v>10</v>
      </c>
      <c r="F4" s="9" t="s">
        <v>11</v>
      </c>
      <c r="G4" s="9" t="s">
        <v>12</v>
      </c>
      <c r="H4" s="10" t="s">
        <v>13</v>
      </c>
      <c r="I4" s="11" t="s">
        <v>14</v>
      </c>
      <c r="J4" s="11" t="s">
        <v>15</v>
      </c>
      <c r="K4" s="12" t="s">
        <v>16</v>
      </c>
      <c r="L4" s="12" t="s">
        <v>139</v>
      </c>
    </row>
    <row r="5" spans="1:12">
      <c r="A5" s="181" t="s">
        <v>17</v>
      </c>
      <c r="B5" s="161"/>
      <c r="C5" s="89" t="str">
        <f t="shared" ref="C5:C10" si="0">SUBSTITUTE(LOWER(TRIM(G5))," ","_")</f>
        <v>instrument</v>
      </c>
      <c r="D5" s="14" t="s">
        <v>18</v>
      </c>
      <c r="E5" s="14"/>
      <c r="F5" s="13" t="s">
        <v>19</v>
      </c>
      <c r="G5" s="13" t="s">
        <v>20</v>
      </c>
      <c r="H5" s="13" t="s">
        <v>21</v>
      </c>
      <c r="I5" s="15"/>
      <c r="J5" s="15"/>
      <c r="K5" s="16"/>
      <c r="L5" s="16"/>
    </row>
    <row r="6" spans="1:12">
      <c r="A6" s="161"/>
      <c r="B6" s="161"/>
      <c r="C6" s="90" t="str">
        <f t="shared" si="0"/>
        <v/>
      </c>
      <c r="D6" s="18"/>
      <c r="E6" s="18"/>
      <c r="F6" s="17" t="s">
        <v>22</v>
      </c>
      <c r="G6" s="17" t="s">
        <v>23</v>
      </c>
      <c r="H6" s="17"/>
      <c r="I6" s="19"/>
      <c r="J6" s="19"/>
      <c r="K6" s="20" t="s">
        <v>280</v>
      </c>
      <c r="L6" s="24"/>
    </row>
    <row r="7" spans="1:12">
      <c r="A7" s="161"/>
      <c r="B7" s="161"/>
      <c r="C7" s="91" t="str">
        <f t="shared" si="0"/>
        <v>data_owner_(affiliation)</v>
      </c>
      <c r="D7" s="22" t="s">
        <v>18</v>
      </c>
      <c r="E7" s="22"/>
      <c r="F7" s="21" t="s">
        <v>25</v>
      </c>
      <c r="G7" s="21" t="s">
        <v>26</v>
      </c>
      <c r="H7" s="21" t="s">
        <v>27</v>
      </c>
      <c r="I7" s="23"/>
      <c r="J7" s="23"/>
      <c r="K7" s="24" t="s">
        <v>28</v>
      </c>
      <c r="L7" s="24"/>
    </row>
    <row r="8" spans="1:12">
      <c r="A8" s="161"/>
      <c r="B8" s="161"/>
      <c r="C8" s="91" t="str">
        <f t="shared" si="0"/>
        <v>data_name</v>
      </c>
      <c r="D8" s="22" t="s">
        <v>18</v>
      </c>
      <c r="E8" s="22"/>
      <c r="F8" s="21" t="s">
        <v>29</v>
      </c>
      <c r="G8" s="21" t="s">
        <v>30</v>
      </c>
      <c r="H8" s="21" t="s">
        <v>27</v>
      </c>
      <c r="I8" s="23"/>
      <c r="J8" s="23"/>
      <c r="K8" s="24" t="s">
        <v>284</v>
      </c>
      <c r="L8" s="24" t="s">
        <v>611</v>
      </c>
    </row>
    <row r="9" spans="1:12">
      <c r="A9" s="161"/>
      <c r="B9" s="161"/>
      <c r="C9" s="91" t="str">
        <f t="shared" si="0"/>
        <v>experiment_id</v>
      </c>
      <c r="D9" s="22"/>
      <c r="E9" s="22"/>
      <c r="F9" s="21" t="s">
        <v>32</v>
      </c>
      <c r="G9" s="21" t="s">
        <v>33</v>
      </c>
      <c r="H9" s="21" t="s">
        <v>21</v>
      </c>
      <c r="I9" s="23"/>
      <c r="J9" s="23"/>
      <c r="K9" s="24"/>
      <c r="L9" s="24"/>
    </row>
    <row r="10" spans="1:12" ht="19.5" thickBot="1">
      <c r="A10" s="161"/>
      <c r="B10" s="161"/>
      <c r="C10" s="92" t="str">
        <f t="shared" si="0"/>
        <v>description</v>
      </c>
      <c r="D10" s="26"/>
      <c r="E10" s="26"/>
      <c r="F10" s="25" t="s">
        <v>34</v>
      </c>
      <c r="G10" s="25" t="s">
        <v>35</v>
      </c>
      <c r="H10" s="25" t="s">
        <v>21</v>
      </c>
      <c r="I10" s="27"/>
      <c r="J10" s="27"/>
      <c r="K10" s="97"/>
      <c r="L10" s="28"/>
    </row>
    <row r="11" spans="1:12">
      <c r="A11" s="181" t="s">
        <v>37</v>
      </c>
      <c r="B11" s="181" t="s">
        <v>37</v>
      </c>
      <c r="C11" s="89" t="str">
        <f>SUBSTITUTE(LOWER(TRIM(G11))," ","_")</f>
        <v>sample_name_(local_id)</v>
      </c>
      <c r="D11" s="14" t="s">
        <v>38</v>
      </c>
      <c r="E11" s="14"/>
      <c r="F11" s="29" t="s">
        <v>39</v>
      </c>
      <c r="G11" s="13" t="s">
        <v>40</v>
      </c>
      <c r="H11" s="29" t="s">
        <v>27</v>
      </c>
      <c r="I11" s="15"/>
      <c r="J11" s="15"/>
      <c r="K11" s="106"/>
      <c r="L11" s="106" t="s">
        <v>612</v>
      </c>
    </row>
    <row r="12" spans="1:12">
      <c r="A12" s="181"/>
      <c r="B12" s="181"/>
      <c r="C12" s="91" t="str">
        <f>SUBSTITUTE(LOWER(TRIM(G12))," ","_")</f>
        <v>chemical_formula_etc.</v>
      </c>
      <c r="D12" s="31"/>
      <c r="E12" s="31"/>
      <c r="F12" s="32" t="s">
        <v>41</v>
      </c>
      <c r="G12" s="23" t="s">
        <v>42</v>
      </c>
      <c r="H12" s="32" t="s">
        <v>27</v>
      </c>
      <c r="I12" s="23"/>
      <c r="J12" s="23"/>
      <c r="K12" s="33"/>
      <c r="L12" s="33"/>
    </row>
    <row r="13" spans="1:12">
      <c r="A13" s="181"/>
      <c r="B13" s="181"/>
      <c r="C13" s="91" t="str">
        <f t="shared" ref="C13:C17" si="1">SUBSTITUTE(LOWER(TRIM(G13))," ","_")</f>
        <v>administrator_(affiliation)</v>
      </c>
      <c r="D13" s="31" t="s">
        <v>38</v>
      </c>
      <c r="E13" s="31"/>
      <c r="F13" s="23" t="s">
        <v>43</v>
      </c>
      <c r="G13" s="23" t="s">
        <v>44</v>
      </c>
      <c r="H13" s="32" t="s">
        <v>27</v>
      </c>
      <c r="I13" s="23"/>
      <c r="J13" s="23"/>
      <c r="K13" s="33"/>
      <c r="L13" s="33"/>
    </row>
    <row r="14" spans="1:12">
      <c r="A14" s="181"/>
      <c r="B14" s="181"/>
      <c r="C14" s="91" t="str">
        <f t="shared" si="1"/>
        <v>reference_url</v>
      </c>
      <c r="D14" s="31"/>
      <c r="E14" s="31"/>
      <c r="F14" s="32" t="s">
        <v>45</v>
      </c>
      <c r="G14" s="23" t="s">
        <v>46</v>
      </c>
      <c r="H14" s="32" t="s">
        <v>27</v>
      </c>
      <c r="I14" s="23"/>
      <c r="J14" s="23"/>
      <c r="K14" s="33"/>
      <c r="L14" s="33"/>
    </row>
    <row r="15" spans="1:12">
      <c r="A15" s="181"/>
      <c r="B15" s="181"/>
      <c r="C15" s="91" t="str">
        <f t="shared" si="1"/>
        <v>related_samples</v>
      </c>
      <c r="D15" s="31"/>
      <c r="E15" s="31"/>
      <c r="F15" s="32" t="s">
        <v>47</v>
      </c>
      <c r="G15" s="23" t="s">
        <v>48</v>
      </c>
      <c r="H15" s="32" t="s">
        <v>27</v>
      </c>
      <c r="I15" s="23"/>
      <c r="J15" s="23"/>
      <c r="K15" s="33"/>
      <c r="L15" s="33"/>
    </row>
    <row r="16" spans="1:12">
      <c r="A16" s="181"/>
      <c r="B16" s="181"/>
      <c r="C16" s="91" t="str">
        <f t="shared" si="1"/>
        <v>tags</v>
      </c>
      <c r="D16" s="31"/>
      <c r="E16" s="31"/>
      <c r="F16" s="32" t="s">
        <v>49</v>
      </c>
      <c r="G16" s="23" t="s">
        <v>50</v>
      </c>
      <c r="H16" s="32" t="s">
        <v>27</v>
      </c>
      <c r="I16" s="23"/>
      <c r="J16" s="23"/>
      <c r="K16" s="33"/>
      <c r="L16" s="33"/>
    </row>
    <row r="17" spans="1:12">
      <c r="A17" s="181"/>
      <c r="B17" s="181"/>
      <c r="C17" s="91" t="str">
        <f t="shared" si="1"/>
        <v>description</v>
      </c>
      <c r="D17" s="31"/>
      <c r="E17" s="31"/>
      <c r="F17" s="32" t="s">
        <v>51</v>
      </c>
      <c r="G17" s="23" t="s">
        <v>52</v>
      </c>
      <c r="H17" s="32" t="s">
        <v>27</v>
      </c>
      <c r="I17" s="23"/>
      <c r="J17" s="23"/>
      <c r="K17" s="33"/>
      <c r="L17" s="33"/>
    </row>
    <row r="18" spans="1:12">
      <c r="A18" s="181"/>
      <c r="B18" s="181"/>
      <c r="C18" s="91" t="str">
        <f t="shared" ref="C18:C25" si="2">"sample.general."&amp;SUBSTITUTE(LOWER(TRIM(G18))," ","-")</f>
        <v>sample.general.sample-type</v>
      </c>
      <c r="D18" s="31"/>
      <c r="E18" s="31"/>
      <c r="F18" s="32" t="s">
        <v>468</v>
      </c>
      <c r="G18" s="23" t="s">
        <v>469</v>
      </c>
      <c r="H18" s="32" t="s">
        <v>27</v>
      </c>
      <c r="I18" s="23"/>
      <c r="J18" s="23"/>
      <c r="K18" s="33"/>
      <c r="L18" s="33"/>
    </row>
    <row r="19" spans="1:12">
      <c r="A19" s="181"/>
      <c r="B19" s="181"/>
      <c r="C19" s="91" t="str">
        <f t="shared" si="2"/>
        <v>sample.general.general-name</v>
      </c>
      <c r="D19" s="31"/>
      <c r="E19" s="31"/>
      <c r="F19" s="32" t="s">
        <v>53</v>
      </c>
      <c r="G19" s="23" t="s">
        <v>54</v>
      </c>
      <c r="H19" s="32" t="s">
        <v>27</v>
      </c>
      <c r="I19" s="23"/>
      <c r="J19" s="23"/>
      <c r="K19" s="33"/>
      <c r="L19" s="33"/>
    </row>
    <row r="20" spans="1:12">
      <c r="A20" s="181"/>
      <c r="B20" s="181"/>
      <c r="C20" s="91" t="str">
        <f t="shared" si="2"/>
        <v>sample.general.cas-number</v>
      </c>
      <c r="D20" s="31"/>
      <c r="E20" s="31"/>
      <c r="F20" s="32" t="s">
        <v>55</v>
      </c>
      <c r="G20" s="23" t="s">
        <v>56</v>
      </c>
      <c r="H20" s="32" t="s">
        <v>27</v>
      </c>
      <c r="I20" s="23"/>
      <c r="J20" s="23"/>
      <c r="K20" s="33"/>
      <c r="L20" s="33"/>
    </row>
    <row r="21" spans="1:12">
      <c r="A21" s="181"/>
      <c r="B21" s="181"/>
      <c r="C21" s="91" t="str">
        <f t="shared" si="2"/>
        <v>sample.general.crystal-structure</v>
      </c>
      <c r="D21" s="31"/>
      <c r="E21" s="31"/>
      <c r="F21" s="32" t="s">
        <v>57</v>
      </c>
      <c r="G21" s="23" t="s">
        <v>58</v>
      </c>
      <c r="H21" s="32" t="s">
        <v>27</v>
      </c>
      <c r="I21" s="23"/>
      <c r="J21" s="23"/>
      <c r="K21" s="33"/>
      <c r="L21" s="33"/>
    </row>
    <row r="22" spans="1:12">
      <c r="A22" s="181"/>
      <c r="B22" s="181"/>
      <c r="C22" s="91" t="str">
        <f t="shared" si="2"/>
        <v>sample.general.sample-shape</v>
      </c>
      <c r="D22" s="31"/>
      <c r="E22" s="31"/>
      <c r="F22" s="32" t="s">
        <v>59</v>
      </c>
      <c r="G22" s="23" t="s">
        <v>60</v>
      </c>
      <c r="H22" s="32" t="s">
        <v>27</v>
      </c>
      <c r="I22" s="23"/>
      <c r="J22" s="23"/>
      <c r="K22" s="33"/>
      <c r="L22" s="33"/>
    </row>
    <row r="23" spans="1:12">
      <c r="A23" s="181"/>
      <c r="B23" s="181"/>
      <c r="C23" s="91" t="str">
        <f t="shared" si="2"/>
        <v>sample.general.purchase-date</v>
      </c>
      <c r="D23" s="31"/>
      <c r="E23" s="31"/>
      <c r="F23" s="32" t="s">
        <v>61</v>
      </c>
      <c r="G23" s="23" t="s">
        <v>62</v>
      </c>
      <c r="H23" s="32" t="s">
        <v>27</v>
      </c>
      <c r="I23" s="23"/>
      <c r="J23" s="23"/>
      <c r="K23" s="33"/>
      <c r="L23" s="33"/>
    </row>
    <row r="24" spans="1:12">
      <c r="A24" s="181"/>
      <c r="B24" s="181"/>
      <c r="C24" s="91" t="str">
        <f t="shared" si="2"/>
        <v>sample.general.supplier</v>
      </c>
      <c r="D24" s="31"/>
      <c r="E24" s="31"/>
      <c r="F24" s="32" t="s">
        <v>63</v>
      </c>
      <c r="G24" s="23" t="s">
        <v>64</v>
      </c>
      <c r="H24" s="32" t="s">
        <v>27</v>
      </c>
      <c r="I24" s="23"/>
      <c r="J24" s="23"/>
      <c r="K24" s="33"/>
      <c r="L24" s="33"/>
    </row>
    <row r="25" spans="1:12" ht="19.5" thickBot="1">
      <c r="A25" s="181"/>
      <c r="B25" s="181"/>
      <c r="C25" s="25" t="str">
        <f t="shared" si="2"/>
        <v>sample.general.lot-number-or-product-number-etc</v>
      </c>
      <c r="D25" s="34"/>
      <c r="E25" s="34"/>
      <c r="F25" s="35" t="s">
        <v>65</v>
      </c>
      <c r="G25" s="35" t="s">
        <v>66</v>
      </c>
      <c r="H25" s="35" t="s">
        <v>27</v>
      </c>
      <c r="I25" s="35"/>
      <c r="J25" s="27"/>
      <c r="K25" s="36"/>
      <c r="L25" s="36"/>
    </row>
    <row r="26" spans="1:12">
      <c r="A26" s="181" t="s">
        <v>67</v>
      </c>
      <c r="B26" s="161" t="s">
        <v>281</v>
      </c>
      <c r="C26" s="13" t="s">
        <v>369</v>
      </c>
      <c r="D26" s="22"/>
      <c r="E26" s="22"/>
      <c r="F26" s="21" t="s">
        <v>364</v>
      </c>
      <c r="G26" s="21" t="s">
        <v>365</v>
      </c>
      <c r="H26" s="29" t="s">
        <v>200</v>
      </c>
      <c r="I26" s="21" t="s">
        <v>368</v>
      </c>
      <c r="J26" s="1"/>
      <c r="K26" s="24"/>
      <c r="L26" s="24"/>
    </row>
    <row r="27" spans="1:12">
      <c r="A27" s="181"/>
      <c r="B27" s="161"/>
      <c r="C27" s="91" t="s">
        <v>370</v>
      </c>
      <c r="D27" s="31"/>
      <c r="E27" s="31"/>
      <c r="F27" s="21" t="s">
        <v>366</v>
      </c>
      <c r="G27" s="21" t="s">
        <v>367</v>
      </c>
      <c r="H27" s="32" t="s">
        <v>21</v>
      </c>
      <c r="I27" s="21"/>
      <c r="J27" s="23"/>
      <c r="K27" s="33"/>
      <c r="L27" s="33"/>
    </row>
    <row r="28" spans="1:12" ht="18.75" customHeight="1">
      <c r="A28" s="181"/>
      <c r="B28" s="161"/>
      <c r="C28" s="93" t="s">
        <v>78</v>
      </c>
      <c r="D28" s="31"/>
      <c r="E28" s="31"/>
      <c r="F28" s="32" t="s">
        <v>79</v>
      </c>
      <c r="G28" s="32" t="s">
        <v>78</v>
      </c>
      <c r="H28" s="21" t="s">
        <v>21</v>
      </c>
      <c r="I28" s="23"/>
      <c r="J28" s="23"/>
      <c r="K28" s="33"/>
      <c r="L28" s="33"/>
    </row>
    <row r="29" spans="1:12" ht="18.75" customHeight="1">
      <c r="A29" s="181"/>
      <c r="B29" s="161"/>
      <c r="C29" s="93" t="s">
        <v>80</v>
      </c>
      <c r="D29" s="31"/>
      <c r="E29" s="31"/>
      <c r="F29" s="32" t="s">
        <v>272</v>
      </c>
      <c r="G29" s="32" t="s">
        <v>273</v>
      </c>
      <c r="H29" s="21" t="s">
        <v>21</v>
      </c>
      <c r="I29" s="23"/>
      <c r="J29" s="23"/>
      <c r="K29" s="33"/>
      <c r="L29" s="33"/>
    </row>
    <row r="30" spans="1:12">
      <c r="A30" s="181"/>
      <c r="B30" s="161"/>
      <c r="C30" s="93" t="s">
        <v>82</v>
      </c>
      <c r="D30" s="22"/>
      <c r="E30" s="22"/>
      <c r="F30" s="32" t="s">
        <v>274</v>
      </c>
      <c r="G30" s="32" t="s">
        <v>275</v>
      </c>
      <c r="H30" s="21" t="s">
        <v>21</v>
      </c>
      <c r="I30" s="1"/>
      <c r="J30" s="1"/>
      <c r="K30" s="24"/>
      <c r="L30" s="24"/>
    </row>
    <row r="31" spans="1:12">
      <c r="A31" s="181"/>
      <c r="B31" s="161"/>
      <c r="C31" s="93" t="s">
        <v>84</v>
      </c>
      <c r="D31" s="31"/>
      <c r="E31" s="31"/>
      <c r="F31" s="32" t="s">
        <v>85</v>
      </c>
      <c r="G31" s="32" t="s">
        <v>276</v>
      </c>
      <c r="H31" s="21" t="s">
        <v>21</v>
      </c>
      <c r="I31" s="23"/>
      <c r="J31" s="23"/>
      <c r="K31" s="33"/>
      <c r="L31" s="33"/>
    </row>
    <row r="32" spans="1:12">
      <c r="A32" s="181"/>
      <c r="B32" s="161"/>
      <c r="C32" s="93" t="s">
        <v>86</v>
      </c>
      <c r="D32" s="22"/>
      <c r="E32" s="22"/>
      <c r="F32" s="32" t="s">
        <v>87</v>
      </c>
      <c r="G32" s="32" t="s">
        <v>277</v>
      </c>
      <c r="H32" s="21" t="s">
        <v>21</v>
      </c>
      <c r="I32" s="23"/>
      <c r="J32" s="23"/>
      <c r="K32" s="33"/>
      <c r="L32" s="33"/>
    </row>
    <row r="33" spans="1:14" ht="18.75" customHeight="1">
      <c r="A33" s="181"/>
      <c r="B33" s="161"/>
      <c r="C33" s="91" t="s">
        <v>651</v>
      </c>
      <c r="D33" s="31"/>
      <c r="E33" s="31"/>
      <c r="F33" s="21" t="s">
        <v>652</v>
      </c>
      <c r="G33" s="21" t="s">
        <v>653</v>
      </c>
      <c r="H33" s="32" t="s">
        <v>21</v>
      </c>
      <c r="I33" s="21"/>
      <c r="J33" s="23"/>
      <c r="K33" s="33" t="s">
        <v>654</v>
      </c>
      <c r="L33" s="33"/>
    </row>
    <row r="34" spans="1:14">
      <c r="A34" s="181"/>
      <c r="B34" s="161" t="s">
        <v>98</v>
      </c>
      <c r="C34" s="91" t="str">
        <f>"common_"&amp;SUBSTITUTE(LOWER(TRIM(G34))," ","_")</f>
        <v>common_data_type</v>
      </c>
      <c r="D34" s="22"/>
      <c r="E34" s="22"/>
      <c r="F34" s="21" t="s">
        <v>99</v>
      </c>
      <c r="G34" s="21" t="s">
        <v>100</v>
      </c>
      <c r="H34" s="21" t="s">
        <v>21</v>
      </c>
      <c r="I34" s="23"/>
      <c r="J34" s="23"/>
      <c r="K34" s="24" t="s">
        <v>361</v>
      </c>
      <c r="L34" s="24"/>
      <c r="N34" s="37"/>
    </row>
    <row r="35" spans="1:14">
      <c r="A35" s="181"/>
      <c r="B35" s="161"/>
      <c r="C35" s="91" t="str">
        <f t="shared" ref="C35:C37" si="3">"common_"&amp;SUBSTITUTE(LOWER(TRIM(G35))," ","_")</f>
        <v>common_data_origin</v>
      </c>
      <c r="D35" s="22"/>
      <c r="E35" s="22"/>
      <c r="F35" s="21" t="s">
        <v>102</v>
      </c>
      <c r="G35" s="21" t="s">
        <v>103</v>
      </c>
      <c r="H35" s="21" t="s">
        <v>21</v>
      </c>
      <c r="I35" s="23"/>
      <c r="J35" s="23"/>
      <c r="K35" s="24" t="s">
        <v>278</v>
      </c>
      <c r="L35" s="24"/>
      <c r="N35" s="37"/>
    </row>
    <row r="36" spans="1:14">
      <c r="A36" s="181"/>
      <c r="B36" s="161"/>
      <c r="C36" s="91" t="str">
        <f t="shared" si="3"/>
        <v>common_technical_category</v>
      </c>
      <c r="D36" s="22"/>
      <c r="E36" s="22"/>
      <c r="F36" s="21" t="s">
        <v>105</v>
      </c>
      <c r="G36" s="21" t="s">
        <v>106</v>
      </c>
      <c r="H36" s="21" t="s">
        <v>21</v>
      </c>
      <c r="I36" s="23"/>
      <c r="J36" s="23"/>
      <c r="K36" s="24" t="s">
        <v>279</v>
      </c>
      <c r="L36" s="24"/>
      <c r="N36" s="37"/>
    </row>
    <row r="37" spans="1:14">
      <c r="A37" s="181"/>
      <c r="B37" s="161"/>
      <c r="C37" s="91" t="str">
        <f t="shared" si="3"/>
        <v>common_reference</v>
      </c>
      <c r="D37" s="22"/>
      <c r="E37" s="22"/>
      <c r="F37" s="21" t="s">
        <v>108</v>
      </c>
      <c r="G37" s="21" t="s">
        <v>109</v>
      </c>
      <c r="H37" s="21" t="s">
        <v>21</v>
      </c>
      <c r="I37" s="23"/>
      <c r="J37" s="23"/>
      <c r="K37" s="24"/>
      <c r="L37" s="24"/>
      <c r="N37" s="37"/>
    </row>
    <row r="38" spans="1:14">
      <c r="A38" s="181"/>
      <c r="B38" s="161" t="s">
        <v>110</v>
      </c>
      <c r="C38" s="91" t="str">
        <f>"measurement_"&amp;SUBSTITUTE(LOWER(TRIM(G38))," ","_")</f>
        <v>measurement_method_category</v>
      </c>
      <c r="D38" s="22"/>
      <c r="E38" s="22"/>
      <c r="F38" s="21" t="s">
        <v>111</v>
      </c>
      <c r="G38" s="21" t="s">
        <v>112</v>
      </c>
      <c r="H38" s="21" t="s">
        <v>21</v>
      </c>
      <c r="I38" s="23"/>
      <c r="J38" s="23"/>
      <c r="K38" s="125" t="s">
        <v>362</v>
      </c>
      <c r="L38" s="126"/>
      <c r="N38" s="37"/>
    </row>
    <row r="39" spans="1:14">
      <c r="A39" s="181"/>
      <c r="B39" s="161"/>
      <c r="C39" s="94" t="str">
        <f t="shared" ref="C39:C45" si="4">"measurement_"&amp;SUBSTITUTE(LOWER(TRIM(G39))," ","_")</f>
        <v>measurement_method_sub-category</v>
      </c>
      <c r="D39" s="40"/>
      <c r="E39" s="40"/>
      <c r="F39" s="39" t="s">
        <v>114</v>
      </c>
      <c r="G39" s="39" t="s">
        <v>115</v>
      </c>
      <c r="H39" s="21" t="s">
        <v>21</v>
      </c>
      <c r="I39" s="38"/>
      <c r="J39" s="38"/>
      <c r="K39" s="125" t="s">
        <v>363</v>
      </c>
      <c r="L39" s="126"/>
      <c r="N39" s="37"/>
    </row>
    <row r="40" spans="1:14">
      <c r="A40" s="181"/>
      <c r="B40" s="161"/>
      <c r="C40" s="94" t="str">
        <f t="shared" si="4"/>
        <v>measurement_analysis_field</v>
      </c>
      <c r="D40" s="40"/>
      <c r="E40" s="40"/>
      <c r="F40" s="39" t="s">
        <v>118</v>
      </c>
      <c r="G40" s="39" t="s">
        <v>119</v>
      </c>
      <c r="H40" s="21" t="s">
        <v>21</v>
      </c>
      <c r="I40" s="38"/>
      <c r="J40" s="38"/>
      <c r="K40" s="24"/>
      <c r="L40" s="24"/>
      <c r="N40" s="37"/>
    </row>
    <row r="41" spans="1:14">
      <c r="A41" s="181"/>
      <c r="B41" s="161"/>
      <c r="C41" s="94" t="str">
        <f t="shared" si="4"/>
        <v>measurement_measurement_environment</v>
      </c>
      <c r="D41" s="40"/>
      <c r="E41" s="40"/>
      <c r="F41" s="39" t="s">
        <v>121</v>
      </c>
      <c r="G41" s="39" t="s">
        <v>122</v>
      </c>
      <c r="H41" s="21" t="s">
        <v>21</v>
      </c>
      <c r="I41" s="38"/>
      <c r="J41" s="38"/>
      <c r="K41" s="41"/>
      <c r="L41" s="41"/>
      <c r="N41" s="37"/>
    </row>
    <row r="42" spans="1:14">
      <c r="A42" s="181"/>
      <c r="B42" s="161"/>
      <c r="C42" s="94" t="str">
        <f t="shared" si="4"/>
        <v>measurement_energy_level_transition_structure_etc._of_interest</v>
      </c>
      <c r="D42" s="40"/>
      <c r="E42" s="40"/>
      <c r="F42" s="39" t="s">
        <v>123</v>
      </c>
      <c r="G42" s="39" t="s">
        <v>124</v>
      </c>
      <c r="H42" s="21" t="s">
        <v>21</v>
      </c>
      <c r="I42" s="38"/>
      <c r="J42" s="38"/>
      <c r="K42" s="41"/>
      <c r="L42" s="41"/>
      <c r="N42" s="37"/>
    </row>
    <row r="43" spans="1:14" ht="93.75">
      <c r="A43" s="181"/>
      <c r="B43" s="161"/>
      <c r="C43" s="143" t="str">
        <f t="shared" si="4"/>
        <v>measurement_measured_date</v>
      </c>
      <c r="D43" s="144"/>
      <c r="E43" s="144"/>
      <c r="F43" s="145" t="s">
        <v>126</v>
      </c>
      <c r="G43" s="145" t="s">
        <v>127</v>
      </c>
      <c r="H43" s="145" t="s">
        <v>128</v>
      </c>
      <c r="I43" s="146"/>
      <c r="J43" s="146"/>
      <c r="K43" s="147" t="s">
        <v>613</v>
      </c>
      <c r="L43" s="142" t="s">
        <v>655</v>
      </c>
      <c r="N43" s="37"/>
    </row>
    <row r="44" spans="1:14">
      <c r="A44" s="181"/>
      <c r="B44" s="161"/>
      <c r="C44" s="94" t="str">
        <f t="shared" si="4"/>
        <v>measurement_standardized_procedure</v>
      </c>
      <c r="D44" s="40"/>
      <c r="E44" s="40"/>
      <c r="F44" s="39" t="s">
        <v>129</v>
      </c>
      <c r="G44" s="39" t="s">
        <v>130</v>
      </c>
      <c r="H44" s="39" t="s">
        <v>21</v>
      </c>
      <c r="I44" s="38"/>
      <c r="J44" s="38"/>
      <c r="K44" s="41"/>
      <c r="L44" s="41"/>
      <c r="N44" s="37"/>
    </row>
    <row r="45" spans="1:14" ht="19.5" thickBot="1">
      <c r="A45" s="181"/>
      <c r="B45" s="161"/>
      <c r="C45" s="92" t="str">
        <f t="shared" si="4"/>
        <v>measurement_instrumentation_site</v>
      </c>
      <c r="D45" s="26"/>
      <c r="E45" s="26"/>
      <c r="F45" s="25" t="s">
        <v>131</v>
      </c>
      <c r="G45" s="25" t="s">
        <v>132</v>
      </c>
      <c r="H45" s="25" t="s">
        <v>21</v>
      </c>
      <c r="I45" s="27"/>
      <c r="J45" s="27"/>
      <c r="K45" s="2"/>
      <c r="L45" s="2"/>
      <c r="N45" s="37"/>
    </row>
    <row r="46" spans="1:14" ht="19.5">
      <c r="G46" s="42"/>
    </row>
  </sheetData>
  <mergeCells count="8">
    <mergeCell ref="A4:B4"/>
    <mergeCell ref="A5:B10"/>
    <mergeCell ref="A11:A25"/>
    <mergeCell ref="B11:B25"/>
    <mergeCell ref="A26:A45"/>
    <mergeCell ref="B26:B33"/>
    <mergeCell ref="B34:B37"/>
    <mergeCell ref="B38:B45"/>
  </mergeCells>
  <phoneticPr fontId="2"/>
  <conditionalFormatting sqref="K5:L10">
    <cfRule type="expression" dxfId="7" priority="5">
      <formula>#REF!=1</formula>
    </cfRule>
    <cfRule type="expression" dxfId="6" priority="6">
      <formula>#REF!=1</formula>
    </cfRule>
  </conditionalFormatting>
  <conditionalFormatting sqref="K26:L26">
    <cfRule type="expression" dxfId="5" priority="11">
      <formula>#REF!=1</formula>
    </cfRule>
    <cfRule type="expression" dxfId="4" priority="12">
      <formula>#REF!=1</formula>
    </cfRule>
  </conditionalFormatting>
  <conditionalFormatting sqref="K30:L30 K34:L37 L38:L39 K40:L45">
    <cfRule type="expression" dxfId="3" priority="7">
      <formula>#REF!=1</formula>
    </cfRule>
    <cfRule type="expression" dxfId="2" priority="8">
      <formula>#REF!=1</formula>
    </cfRule>
  </conditionalFormatting>
  <dataValidations count="2">
    <dataValidation type="list" allowBlank="1" showInputMessage="1" showErrorMessage="1" sqref="K5:L5" xr:uid="{70676DEB-DDBC-4F96-80D9-BA0D31D1B004}">
      <formula1>#REF!</formula1>
    </dataValidation>
    <dataValidation type="list" allowBlank="1" showInputMessage="1" showErrorMessage="1" sqref="I25 H5:H27 H28:H45" xr:uid="{D4CAA165-6F3C-4035-B16A-373F74521D8B}">
      <formula1>"string,string[date],number,integer"</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A099-D1D9-47C6-9CCA-1E0707904294}">
  <dimension ref="A1:M85"/>
  <sheetViews>
    <sheetView zoomScale="75" zoomScaleNormal="75" workbookViewId="0"/>
  </sheetViews>
  <sheetFormatPr defaultColWidth="9" defaultRowHeight="18.75"/>
  <cols>
    <col min="1" max="1" width="16.375" style="3" bestFit="1" customWidth="1"/>
    <col min="2" max="2" width="13.375" style="3" customWidth="1"/>
    <col min="3" max="4" width="33.125" style="3" customWidth="1"/>
    <col min="5" max="5" width="9.5" style="3" customWidth="1"/>
    <col min="6" max="6" width="33.125" style="3" customWidth="1"/>
    <col min="7" max="7" width="32.125" style="3" bestFit="1" customWidth="1"/>
    <col min="8" max="8" width="15.125" style="3" bestFit="1" customWidth="1"/>
    <col min="9" max="9" width="13.375" style="3" customWidth="1"/>
    <col min="10" max="10" width="5.875" style="3" bestFit="1" customWidth="1"/>
    <col min="11" max="11" width="33.125" style="3" customWidth="1"/>
    <col min="12" max="12" width="43.125" style="3" customWidth="1"/>
    <col min="13" max="13" width="44.375" style="3" customWidth="1"/>
    <col min="14" max="16384" width="9" style="3"/>
  </cols>
  <sheetData>
    <row r="1" spans="1:13">
      <c r="A1" s="3" t="s">
        <v>282</v>
      </c>
      <c r="C1" s="3" t="s">
        <v>1</v>
      </c>
      <c r="D1" s="3" t="s">
        <v>134</v>
      </c>
      <c r="F1" s="3" t="s">
        <v>2</v>
      </c>
      <c r="G1" s="3" t="s">
        <v>3</v>
      </c>
      <c r="H1" s="6" t="s">
        <v>4</v>
      </c>
      <c r="I1" s="3" t="s">
        <v>5</v>
      </c>
      <c r="J1" s="3" t="s">
        <v>6</v>
      </c>
      <c r="K1" s="6" t="s">
        <v>7</v>
      </c>
    </row>
    <row r="2" spans="1:13" ht="93.75">
      <c r="A2" s="43" t="s">
        <v>283</v>
      </c>
      <c r="B2" s="45" t="s">
        <v>389</v>
      </c>
      <c r="C2" s="43" t="s">
        <v>135</v>
      </c>
      <c r="D2" s="44" t="s">
        <v>136</v>
      </c>
      <c r="E2" s="43" t="s">
        <v>137</v>
      </c>
      <c r="F2" s="44" t="s">
        <v>11</v>
      </c>
      <c r="G2" s="44" t="s">
        <v>138</v>
      </c>
      <c r="H2" s="43" t="s">
        <v>13</v>
      </c>
      <c r="I2" s="45" t="s">
        <v>14</v>
      </c>
      <c r="J2" s="45" t="s">
        <v>15</v>
      </c>
      <c r="K2" s="46" t="s">
        <v>16</v>
      </c>
      <c r="L2" s="47" t="s">
        <v>139</v>
      </c>
    </row>
    <row r="3" spans="1:13" ht="19.5">
      <c r="A3" s="95"/>
      <c r="B3" s="127" t="s">
        <v>390</v>
      </c>
      <c r="C3" s="48" t="s">
        <v>417</v>
      </c>
      <c r="D3" s="23" t="s">
        <v>286</v>
      </c>
      <c r="E3" s="23"/>
      <c r="F3" s="23" t="s">
        <v>150</v>
      </c>
      <c r="G3" s="21" t="s">
        <v>335</v>
      </c>
      <c r="H3" s="23" t="s">
        <v>21</v>
      </c>
      <c r="I3" s="131"/>
      <c r="J3" s="23"/>
      <c r="K3" s="50"/>
      <c r="L3" s="23"/>
    </row>
    <row r="4" spans="1:13" ht="19.5">
      <c r="A4" s="95"/>
      <c r="B4" s="127" t="s">
        <v>390</v>
      </c>
      <c r="C4" s="48" t="s">
        <v>418</v>
      </c>
      <c r="D4" s="23" t="s">
        <v>287</v>
      </c>
      <c r="E4" s="23"/>
      <c r="F4" s="23" t="s">
        <v>288</v>
      </c>
      <c r="G4" s="21" t="s">
        <v>336</v>
      </c>
      <c r="H4" s="23" t="s">
        <v>21</v>
      </c>
      <c r="I4" s="132"/>
      <c r="J4" s="23"/>
      <c r="K4" s="50"/>
      <c r="L4" s="23"/>
    </row>
    <row r="5" spans="1:13" ht="18" customHeight="1">
      <c r="A5" s="95"/>
      <c r="B5" s="127" t="s">
        <v>390</v>
      </c>
      <c r="C5" s="23" t="s">
        <v>419</v>
      </c>
      <c r="D5" s="23" t="s">
        <v>289</v>
      </c>
      <c r="E5" s="23"/>
      <c r="F5" s="23" t="s">
        <v>290</v>
      </c>
      <c r="G5" s="23" t="s">
        <v>337</v>
      </c>
      <c r="H5" s="23" t="s">
        <v>21</v>
      </c>
      <c r="I5" s="133"/>
      <c r="J5" s="23"/>
      <c r="K5" s="50"/>
      <c r="L5" s="23"/>
    </row>
    <row r="6" spans="1:13" ht="19.5">
      <c r="A6" s="95"/>
      <c r="B6" s="127" t="s">
        <v>390</v>
      </c>
      <c r="C6" s="48" t="s">
        <v>420</v>
      </c>
      <c r="D6" s="23" t="s">
        <v>291</v>
      </c>
      <c r="E6" s="23"/>
      <c r="F6" s="23" t="s">
        <v>292</v>
      </c>
      <c r="G6" s="21" t="s">
        <v>338</v>
      </c>
      <c r="H6" s="23" t="s">
        <v>21</v>
      </c>
      <c r="I6" s="132"/>
      <c r="J6" s="23"/>
      <c r="K6" s="50"/>
      <c r="L6" s="23"/>
    </row>
    <row r="7" spans="1:13" ht="19.5">
      <c r="A7" s="95"/>
      <c r="B7" s="127" t="s">
        <v>390</v>
      </c>
      <c r="C7" s="48" t="s">
        <v>421</v>
      </c>
      <c r="D7" s="23" t="s">
        <v>293</v>
      </c>
      <c r="E7" s="23"/>
      <c r="F7" s="23" t="s">
        <v>294</v>
      </c>
      <c r="G7" s="21" t="s">
        <v>358</v>
      </c>
      <c r="H7" s="23" t="s">
        <v>200</v>
      </c>
      <c r="I7" s="132" t="s">
        <v>360</v>
      </c>
      <c r="J7" s="23"/>
      <c r="K7" s="50"/>
      <c r="L7" s="23"/>
    </row>
    <row r="8" spans="1:13" ht="19.5">
      <c r="A8" s="95"/>
      <c r="B8" s="127" t="s">
        <v>390</v>
      </c>
      <c r="C8" s="48" t="s">
        <v>422</v>
      </c>
      <c r="D8" s="23" t="s">
        <v>295</v>
      </c>
      <c r="E8" s="23"/>
      <c r="F8" s="23" t="s">
        <v>296</v>
      </c>
      <c r="G8" s="21" t="s">
        <v>339</v>
      </c>
      <c r="H8" s="23" t="s">
        <v>21</v>
      </c>
      <c r="I8" s="134"/>
      <c r="J8" s="23"/>
      <c r="K8" s="50"/>
      <c r="L8" s="23"/>
    </row>
    <row r="9" spans="1:13" ht="19.5">
      <c r="A9" s="95"/>
      <c r="B9" s="127" t="s">
        <v>390</v>
      </c>
      <c r="C9" s="110" t="s">
        <v>423</v>
      </c>
      <c r="D9" s="38" t="s">
        <v>297</v>
      </c>
      <c r="E9" s="38"/>
      <c r="F9" s="38" t="s">
        <v>298</v>
      </c>
      <c r="G9" s="38" t="s">
        <v>340</v>
      </c>
      <c r="H9" s="38" t="s">
        <v>21</v>
      </c>
      <c r="I9" s="135"/>
      <c r="J9" s="38"/>
      <c r="K9" s="111"/>
      <c r="L9" s="23"/>
    </row>
    <row r="10" spans="1:13" ht="19.5">
      <c r="A10" s="107"/>
      <c r="B10" s="127" t="s">
        <v>390</v>
      </c>
      <c r="C10" s="48" t="s">
        <v>424</v>
      </c>
      <c r="D10" s="23" t="s">
        <v>299</v>
      </c>
      <c r="E10" s="23"/>
      <c r="F10" s="23" t="s">
        <v>300</v>
      </c>
      <c r="G10" s="21" t="s">
        <v>341</v>
      </c>
      <c r="H10" s="23" t="s">
        <v>200</v>
      </c>
      <c r="I10" s="134" t="s">
        <v>388</v>
      </c>
      <c r="J10" s="23"/>
      <c r="K10" s="50"/>
      <c r="L10" s="108"/>
    </row>
    <row r="11" spans="1:13" ht="19.5">
      <c r="A11" s="107"/>
      <c r="B11" s="127" t="s">
        <v>390</v>
      </c>
      <c r="C11" s="48" t="s">
        <v>425</v>
      </c>
      <c r="D11" s="23" t="s">
        <v>301</v>
      </c>
      <c r="E11" s="23"/>
      <c r="F11" s="23" t="s">
        <v>302</v>
      </c>
      <c r="G11" s="21" t="s">
        <v>342</v>
      </c>
      <c r="H11" s="23" t="s">
        <v>200</v>
      </c>
      <c r="I11" s="134" t="s">
        <v>388</v>
      </c>
      <c r="J11" s="23"/>
      <c r="K11" s="50"/>
      <c r="L11" s="108"/>
    </row>
    <row r="12" spans="1:13" ht="19.5">
      <c r="A12" s="107"/>
      <c r="B12" s="127" t="s">
        <v>390</v>
      </c>
      <c r="C12" s="48" t="s">
        <v>426</v>
      </c>
      <c r="D12" s="23" t="s">
        <v>303</v>
      </c>
      <c r="E12" s="23"/>
      <c r="F12" s="23" t="s">
        <v>304</v>
      </c>
      <c r="G12" s="21" t="s">
        <v>343</v>
      </c>
      <c r="H12" s="23" t="s">
        <v>200</v>
      </c>
      <c r="I12" s="134" t="s">
        <v>388</v>
      </c>
      <c r="J12" s="23"/>
      <c r="K12" s="50"/>
      <c r="L12" s="109"/>
      <c r="M12" s="6"/>
    </row>
    <row r="13" spans="1:13" ht="19.5">
      <c r="A13" s="23"/>
      <c r="B13" s="127" t="s">
        <v>390</v>
      </c>
      <c r="C13" s="52" t="s">
        <v>427</v>
      </c>
      <c r="D13" s="52" t="s">
        <v>305</v>
      </c>
      <c r="E13" s="52"/>
      <c r="F13" s="52" t="s">
        <v>306</v>
      </c>
      <c r="G13" s="52" t="s">
        <v>344</v>
      </c>
      <c r="H13" s="52" t="s">
        <v>21</v>
      </c>
      <c r="I13" s="136"/>
      <c r="J13" s="52"/>
      <c r="K13" s="52"/>
      <c r="L13" s="23"/>
    </row>
    <row r="14" spans="1:13" ht="19.5">
      <c r="A14" s="23"/>
      <c r="B14" s="127" t="s">
        <v>390</v>
      </c>
      <c r="C14" s="23" t="s">
        <v>428</v>
      </c>
      <c r="D14" s="23" t="s">
        <v>307</v>
      </c>
      <c r="E14" s="23"/>
      <c r="F14" s="23" t="s">
        <v>308</v>
      </c>
      <c r="G14" s="23" t="s">
        <v>345</v>
      </c>
      <c r="H14" s="23" t="s">
        <v>200</v>
      </c>
      <c r="I14" s="132" t="s">
        <v>547</v>
      </c>
      <c r="J14" s="23"/>
      <c r="K14" s="23"/>
      <c r="L14" s="23"/>
    </row>
    <row r="15" spans="1:13" ht="19.5">
      <c r="A15" s="23"/>
      <c r="B15" s="127" t="s">
        <v>390</v>
      </c>
      <c r="C15" s="23" t="s">
        <v>429</v>
      </c>
      <c r="D15" s="23" t="s">
        <v>309</v>
      </c>
      <c r="E15" s="23"/>
      <c r="F15" s="23" t="s">
        <v>310</v>
      </c>
      <c r="G15" s="23" t="s">
        <v>346</v>
      </c>
      <c r="H15" s="23" t="s">
        <v>200</v>
      </c>
      <c r="I15" s="132" t="s">
        <v>614</v>
      </c>
      <c r="J15" s="23"/>
      <c r="K15" s="23"/>
      <c r="L15" s="23"/>
    </row>
    <row r="16" spans="1:13" ht="19.5">
      <c r="A16" s="23"/>
      <c r="B16" s="127" t="s">
        <v>390</v>
      </c>
      <c r="C16" s="23" t="s">
        <v>430</v>
      </c>
      <c r="D16" s="23" t="s">
        <v>333</v>
      </c>
      <c r="E16" s="23"/>
      <c r="F16" s="23" t="s">
        <v>311</v>
      </c>
      <c r="G16" s="23" t="s">
        <v>347</v>
      </c>
      <c r="H16" s="105" t="s">
        <v>21</v>
      </c>
      <c r="I16" s="132"/>
      <c r="J16" s="23"/>
      <c r="K16" s="23"/>
      <c r="L16" s="23"/>
    </row>
    <row r="17" spans="1:12" ht="19.5">
      <c r="A17" s="23"/>
      <c r="B17" s="127" t="s">
        <v>390</v>
      </c>
      <c r="C17" s="23" t="s">
        <v>431</v>
      </c>
      <c r="D17" s="23" t="s">
        <v>312</v>
      </c>
      <c r="E17" s="23"/>
      <c r="F17" s="23" t="s">
        <v>313</v>
      </c>
      <c r="G17" s="23" t="s">
        <v>348</v>
      </c>
      <c r="H17" s="23" t="s">
        <v>200</v>
      </c>
      <c r="I17" s="132"/>
      <c r="J17" s="23"/>
      <c r="K17" s="23"/>
      <c r="L17" s="23"/>
    </row>
    <row r="18" spans="1:12" ht="19.5">
      <c r="A18" s="23"/>
      <c r="B18" s="127" t="s">
        <v>390</v>
      </c>
      <c r="C18" s="23" t="s">
        <v>432</v>
      </c>
      <c r="D18" s="23" t="s">
        <v>314</v>
      </c>
      <c r="E18" s="23"/>
      <c r="F18" s="23" t="s">
        <v>315</v>
      </c>
      <c r="G18" s="23" t="s">
        <v>349</v>
      </c>
      <c r="H18" s="23" t="s">
        <v>21</v>
      </c>
      <c r="I18" s="132"/>
      <c r="J18" s="23"/>
      <c r="K18" s="23"/>
      <c r="L18" s="23"/>
    </row>
    <row r="19" spans="1:12" ht="19.5">
      <c r="A19" s="23"/>
      <c r="B19" s="127" t="s">
        <v>390</v>
      </c>
      <c r="C19" s="23" t="s">
        <v>433</v>
      </c>
      <c r="D19" s="23" t="s">
        <v>316</v>
      </c>
      <c r="E19" s="23"/>
      <c r="F19" s="23" t="s">
        <v>517</v>
      </c>
      <c r="G19" s="23" t="s">
        <v>350</v>
      </c>
      <c r="H19" s="23" t="s">
        <v>21</v>
      </c>
      <c r="I19" s="132"/>
      <c r="J19" s="23"/>
      <c r="K19" s="23"/>
      <c r="L19" s="23"/>
    </row>
    <row r="20" spans="1:12" ht="19.5">
      <c r="A20" s="23"/>
      <c r="B20" s="127" t="s">
        <v>390</v>
      </c>
      <c r="C20" s="23" t="s">
        <v>434</v>
      </c>
      <c r="D20" s="23" t="s">
        <v>318</v>
      </c>
      <c r="E20" s="23"/>
      <c r="F20" s="23" t="s">
        <v>319</v>
      </c>
      <c r="G20" s="23" t="s">
        <v>351</v>
      </c>
      <c r="H20" s="23" t="s">
        <v>21</v>
      </c>
      <c r="I20" s="132"/>
      <c r="J20" s="23"/>
      <c r="K20" s="23"/>
      <c r="L20" s="23"/>
    </row>
    <row r="21" spans="1:12" ht="19.5">
      <c r="A21" s="23"/>
      <c r="B21" s="127" t="s">
        <v>390</v>
      </c>
      <c r="C21" s="23" t="s">
        <v>435</v>
      </c>
      <c r="D21" s="23" t="s">
        <v>320</v>
      </c>
      <c r="E21" s="23"/>
      <c r="F21" s="23" t="s">
        <v>321</v>
      </c>
      <c r="G21" s="23" t="s">
        <v>352</v>
      </c>
      <c r="H21" s="23" t="s">
        <v>21</v>
      </c>
      <c r="I21" s="132"/>
      <c r="J21" s="23"/>
      <c r="K21" s="23"/>
      <c r="L21" s="23"/>
    </row>
    <row r="22" spans="1:12" ht="19.5">
      <c r="A22" s="23"/>
      <c r="B22" s="127" t="s">
        <v>390</v>
      </c>
      <c r="C22" s="23" t="s">
        <v>436</v>
      </c>
      <c r="D22" s="23" t="s">
        <v>322</v>
      </c>
      <c r="E22" s="23"/>
      <c r="F22" s="23" t="s">
        <v>323</v>
      </c>
      <c r="G22" s="23" t="s">
        <v>353</v>
      </c>
      <c r="H22" s="23" t="s">
        <v>200</v>
      </c>
      <c r="I22" s="132" t="s">
        <v>549</v>
      </c>
      <c r="J22" s="23"/>
      <c r="K22" s="23"/>
      <c r="L22" s="23"/>
    </row>
    <row r="23" spans="1:12" ht="19.5">
      <c r="A23" s="23"/>
      <c r="B23" s="127" t="s">
        <v>390</v>
      </c>
      <c r="C23" s="23" t="s">
        <v>437</v>
      </c>
      <c r="D23" s="23" t="s">
        <v>324</v>
      </c>
      <c r="E23" s="23"/>
      <c r="F23" s="23" t="s">
        <v>334</v>
      </c>
      <c r="G23" s="23" t="s">
        <v>359</v>
      </c>
      <c r="H23" s="23" t="s">
        <v>200</v>
      </c>
      <c r="I23" s="132" t="s">
        <v>615</v>
      </c>
      <c r="J23" s="23"/>
      <c r="K23" s="23"/>
      <c r="L23" s="23"/>
    </row>
    <row r="24" spans="1:12" ht="19.5">
      <c r="A24" s="23"/>
      <c r="B24" s="127" t="s">
        <v>390</v>
      </c>
      <c r="C24" s="23" t="s">
        <v>438</v>
      </c>
      <c r="D24" s="23" t="s">
        <v>325</v>
      </c>
      <c r="E24" s="23"/>
      <c r="F24" s="23" t="s">
        <v>326</v>
      </c>
      <c r="G24" s="23" t="s">
        <v>354</v>
      </c>
      <c r="H24" s="23" t="s">
        <v>200</v>
      </c>
      <c r="I24" s="132" t="s">
        <v>615</v>
      </c>
      <c r="J24" s="23"/>
      <c r="K24" s="23"/>
      <c r="L24" s="23"/>
    </row>
    <row r="25" spans="1:12" ht="19.5">
      <c r="A25" s="23"/>
      <c r="B25" s="127" t="s">
        <v>390</v>
      </c>
      <c r="C25" s="23" t="s">
        <v>439</v>
      </c>
      <c r="D25" s="23" t="s">
        <v>327</v>
      </c>
      <c r="E25" s="23"/>
      <c r="F25" s="23" t="s">
        <v>328</v>
      </c>
      <c r="G25" s="23" t="s">
        <v>355</v>
      </c>
      <c r="H25" s="23" t="s">
        <v>200</v>
      </c>
      <c r="I25" s="132" t="s">
        <v>615</v>
      </c>
      <c r="J25" s="23"/>
      <c r="K25" s="23"/>
      <c r="L25" s="23"/>
    </row>
    <row r="26" spans="1:12" ht="19.5">
      <c r="A26" s="23"/>
      <c r="B26" s="127" t="s">
        <v>390</v>
      </c>
      <c r="C26" s="23" t="s">
        <v>440</v>
      </c>
      <c r="D26" s="23" t="s">
        <v>329</v>
      </c>
      <c r="E26" s="23"/>
      <c r="F26" s="23" t="s">
        <v>330</v>
      </c>
      <c r="G26" s="23" t="s">
        <v>356</v>
      </c>
      <c r="H26" s="23" t="s">
        <v>21</v>
      </c>
      <c r="I26" s="132"/>
      <c r="J26" s="23"/>
      <c r="K26" s="23"/>
      <c r="L26" s="23"/>
    </row>
    <row r="27" spans="1:12" ht="19.5">
      <c r="A27" s="23"/>
      <c r="B27" s="127" t="s">
        <v>390</v>
      </c>
      <c r="C27" s="23" t="s">
        <v>441</v>
      </c>
      <c r="D27" s="23" t="s">
        <v>331</v>
      </c>
      <c r="E27" s="23"/>
      <c r="F27" s="23" t="s">
        <v>332</v>
      </c>
      <c r="G27" s="23" t="s">
        <v>357</v>
      </c>
      <c r="H27" s="23" t="s">
        <v>21</v>
      </c>
      <c r="I27" s="132"/>
      <c r="J27" s="23"/>
      <c r="K27" s="23"/>
      <c r="L27" s="23"/>
    </row>
    <row r="28" spans="1:12" ht="19.5">
      <c r="A28" s="38"/>
      <c r="B28" s="128" t="s">
        <v>391</v>
      </c>
      <c r="C28" s="110" t="s">
        <v>392</v>
      </c>
      <c r="D28" s="38" t="s">
        <v>442</v>
      </c>
      <c r="E28" s="38"/>
      <c r="F28" s="38" t="s">
        <v>150</v>
      </c>
      <c r="G28" s="39" t="s">
        <v>335</v>
      </c>
      <c r="H28" s="38" t="s">
        <v>21</v>
      </c>
      <c r="I28" s="137"/>
      <c r="J28" s="38"/>
      <c r="K28" s="38"/>
      <c r="L28" s="38"/>
    </row>
    <row r="29" spans="1:12" ht="19.5">
      <c r="A29" s="23"/>
      <c r="B29" s="127" t="s">
        <v>391</v>
      </c>
      <c r="C29" s="48" t="s">
        <v>393</v>
      </c>
      <c r="D29" s="23" t="s">
        <v>443</v>
      </c>
      <c r="E29" s="23"/>
      <c r="F29" s="23" t="s">
        <v>288</v>
      </c>
      <c r="G29" s="21" t="s">
        <v>336</v>
      </c>
      <c r="H29" s="23" t="s">
        <v>21</v>
      </c>
      <c r="I29" s="132"/>
      <c r="J29" s="23"/>
      <c r="K29" s="23"/>
      <c r="L29" s="23"/>
    </row>
    <row r="30" spans="1:12" ht="19.5">
      <c r="A30" s="23"/>
      <c r="B30" s="127" t="s">
        <v>391</v>
      </c>
      <c r="C30" s="23" t="s">
        <v>394</v>
      </c>
      <c r="D30" s="23" t="s">
        <v>444</v>
      </c>
      <c r="E30" s="23"/>
      <c r="F30" s="23" t="s">
        <v>290</v>
      </c>
      <c r="G30" s="23" t="s">
        <v>337</v>
      </c>
      <c r="H30" s="23" t="s">
        <v>21</v>
      </c>
      <c r="I30" s="133"/>
      <c r="J30" s="23"/>
      <c r="K30" s="23"/>
      <c r="L30" s="23"/>
    </row>
    <row r="31" spans="1:12" ht="19.5">
      <c r="A31" s="23"/>
      <c r="B31" s="127" t="s">
        <v>391</v>
      </c>
      <c r="C31" s="48" t="s">
        <v>395</v>
      </c>
      <c r="D31" s="23" t="s">
        <v>445</v>
      </c>
      <c r="E31" s="23"/>
      <c r="F31" s="23" t="s">
        <v>292</v>
      </c>
      <c r="G31" s="21" t="s">
        <v>338</v>
      </c>
      <c r="H31" s="23" t="s">
        <v>21</v>
      </c>
      <c r="I31" s="132"/>
      <c r="J31" s="23"/>
      <c r="K31" s="23"/>
      <c r="L31" s="23"/>
    </row>
    <row r="32" spans="1:12" ht="19.5">
      <c r="A32" s="23"/>
      <c r="B32" s="127" t="s">
        <v>391</v>
      </c>
      <c r="C32" s="48" t="s">
        <v>396</v>
      </c>
      <c r="D32" s="23" t="s">
        <v>446</v>
      </c>
      <c r="E32" s="23"/>
      <c r="F32" s="23" t="s">
        <v>294</v>
      </c>
      <c r="G32" s="21" t="s">
        <v>358</v>
      </c>
      <c r="H32" s="23" t="s">
        <v>200</v>
      </c>
      <c r="I32" s="132" t="s">
        <v>360</v>
      </c>
      <c r="J32" s="23"/>
      <c r="K32" s="23"/>
      <c r="L32" s="23"/>
    </row>
    <row r="33" spans="1:12" ht="19.5">
      <c r="A33" s="23"/>
      <c r="B33" s="127" t="s">
        <v>391</v>
      </c>
      <c r="C33" s="48" t="s">
        <v>397</v>
      </c>
      <c r="D33" s="23" t="s">
        <v>447</v>
      </c>
      <c r="E33" s="23"/>
      <c r="F33" s="23" t="s">
        <v>296</v>
      </c>
      <c r="G33" s="21" t="s">
        <v>339</v>
      </c>
      <c r="H33" s="23" t="s">
        <v>21</v>
      </c>
      <c r="I33" s="134"/>
      <c r="J33" s="23"/>
      <c r="K33" s="23"/>
      <c r="L33" s="23"/>
    </row>
    <row r="34" spans="1:12" ht="19.5">
      <c r="A34" s="23"/>
      <c r="B34" s="127" t="s">
        <v>391</v>
      </c>
      <c r="C34" s="48" t="s">
        <v>398</v>
      </c>
      <c r="D34" s="23" t="s">
        <v>448</v>
      </c>
      <c r="E34" s="23"/>
      <c r="F34" s="23" t="s">
        <v>298</v>
      </c>
      <c r="G34" s="23" t="s">
        <v>340</v>
      </c>
      <c r="H34" s="23" t="s">
        <v>21</v>
      </c>
      <c r="I34" s="134"/>
      <c r="J34" s="23"/>
      <c r="K34" s="23"/>
      <c r="L34" s="23"/>
    </row>
    <row r="35" spans="1:12" ht="19.5">
      <c r="A35" s="23"/>
      <c r="B35" s="127" t="s">
        <v>391</v>
      </c>
      <c r="C35" s="48" t="s">
        <v>399</v>
      </c>
      <c r="D35" s="23" t="s">
        <v>449</v>
      </c>
      <c r="E35" s="23"/>
      <c r="F35" s="23" t="s">
        <v>300</v>
      </c>
      <c r="G35" s="21" t="s">
        <v>341</v>
      </c>
      <c r="H35" s="23" t="s">
        <v>200</v>
      </c>
      <c r="I35" s="134" t="s">
        <v>388</v>
      </c>
      <c r="J35" s="23"/>
      <c r="K35" s="23"/>
      <c r="L35" s="23"/>
    </row>
    <row r="36" spans="1:12" ht="19.5">
      <c r="A36" s="23"/>
      <c r="B36" s="127" t="s">
        <v>391</v>
      </c>
      <c r="C36" s="48" t="s">
        <v>400</v>
      </c>
      <c r="D36" s="23" t="s">
        <v>450</v>
      </c>
      <c r="E36" s="23"/>
      <c r="F36" s="23" t="s">
        <v>302</v>
      </c>
      <c r="G36" s="21" t="s">
        <v>342</v>
      </c>
      <c r="H36" s="23" t="s">
        <v>200</v>
      </c>
      <c r="I36" s="134" t="s">
        <v>388</v>
      </c>
      <c r="J36" s="23"/>
      <c r="K36" s="23"/>
      <c r="L36" s="23"/>
    </row>
    <row r="37" spans="1:12" ht="19.5">
      <c r="A37" s="23"/>
      <c r="B37" s="127" t="s">
        <v>391</v>
      </c>
      <c r="C37" s="48" t="s">
        <v>401</v>
      </c>
      <c r="D37" s="23" t="s">
        <v>451</v>
      </c>
      <c r="E37" s="23"/>
      <c r="F37" s="23" t="s">
        <v>304</v>
      </c>
      <c r="G37" s="21" t="s">
        <v>343</v>
      </c>
      <c r="H37" s="23" t="s">
        <v>200</v>
      </c>
      <c r="I37" s="134" t="s">
        <v>388</v>
      </c>
      <c r="J37" s="23"/>
      <c r="K37" s="23"/>
      <c r="L37" s="23"/>
    </row>
    <row r="38" spans="1:12" ht="19.5">
      <c r="A38" s="23"/>
      <c r="B38" s="127" t="s">
        <v>391</v>
      </c>
      <c r="C38" s="23" t="s">
        <v>402</v>
      </c>
      <c r="D38" s="23" t="s">
        <v>452</v>
      </c>
      <c r="E38" s="23"/>
      <c r="F38" s="23" t="s">
        <v>306</v>
      </c>
      <c r="G38" s="23" t="s">
        <v>344</v>
      </c>
      <c r="H38" s="23" t="s">
        <v>21</v>
      </c>
      <c r="I38" s="132"/>
      <c r="J38" s="23"/>
      <c r="K38" s="23"/>
      <c r="L38" s="23"/>
    </row>
    <row r="39" spans="1:12" ht="19.5">
      <c r="A39" s="23"/>
      <c r="B39" s="127" t="s">
        <v>391</v>
      </c>
      <c r="C39" s="23" t="s">
        <v>403</v>
      </c>
      <c r="D39" s="23" t="s">
        <v>453</v>
      </c>
      <c r="E39" s="23"/>
      <c r="F39" s="23" t="s">
        <v>308</v>
      </c>
      <c r="G39" s="23" t="s">
        <v>345</v>
      </c>
      <c r="H39" s="23" t="s">
        <v>200</v>
      </c>
      <c r="I39" s="132" t="s">
        <v>547</v>
      </c>
      <c r="J39" s="23"/>
      <c r="K39" s="23"/>
      <c r="L39" s="23"/>
    </row>
    <row r="40" spans="1:12" ht="19.5">
      <c r="A40" s="23"/>
      <c r="B40" s="127" t="s">
        <v>391</v>
      </c>
      <c r="C40" s="23" t="s">
        <v>404</v>
      </c>
      <c r="D40" s="23" t="s">
        <v>454</v>
      </c>
      <c r="E40" s="23"/>
      <c r="F40" s="23" t="s">
        <v>310</v>
      </c>
      <c r="G40" s="23" t="s">
        <v>346</v>
      </c>
      <c r="H40" s="23" t="s">
        <v>200</v>
      </c>
      <c r="I40" s="132" t="s">
        <v>614</v>
      </c>
      <c r="J40" s="23"/>
      <c r="K40" s="23"/>
      <c r="L40" s="23"/>
    </row>
    <row r="41" spans="1:12" ht="19.5">
      <c r="A41" s="23"/>
      <c r="B41" s="127" t="s">
        <v>391</v>
      </c>
      <c r="C41" s="23" t="s">
        <v>405</v>
      </c>
      <c r="D41" s="23" t="s">
        <v>455</v>
      </c>
      <c r="E41" s="23"/>
      <c r="F41" s="23" t="s">
        <v>311</v>
      </c>
      <c r="G41" s="23" t="s">
        <v>347</v>
      </c>
      <c r="H41" s="105" t="s">
        <v>21</v>
      </c>
      <c r="I41" s="132"/>
      <c r="J41" s="23"/>
      <c r="K41" s="23"/>
      <c r="L41" s="23"/>
    </row>
    <row r="42" spans="1:12" ht="19.5">
      <c r="A42" s="23"/>
      <c r="B42" s="127" t="s">
        <v>391</v>
      </c>
      <c r="C42" s="23" t="s">
        <v>406</v>
      </c>
      <c r="D42" s="23" t="s">
        <v>456</v>
      </c>
      <c r="E42" s="23"/>
      <c r="F42" s="23" t="s">
        <v>313</v>
      </c>
      <c r="G42" s="23" t="s">
        <v>348</v>
      </c>
      <c r="H42" s="23" t="s">
        <v>200</v>
      </c>
      <c r="I42" s="132"/>
      <c r="J42" s="23"/>
      <c r="K42" s="23"/>
      <c r="L42" s="23"/>
    </row>
    <row r="43" spans="1:12" ht="19.5">
      <c r="A43" s="23"/>
      <c r="B43" s="127" t="s">
        <v>391</v>
      </c>
      <c r="C43" s="23" t="s">
        <v>407</v>
      </c>
      <c r="D43" s="23" t="s">
        <v>457</v>
      </c>
      <c r="E43" s="23"/>
      <c r="F43" s="23" t="s">
        <v>315</v>
      </c>
      <c r="G43" s="23" t="s">
        <v>349</v>
      </c>
      <c r="H43" s="23" t="s">
        <v>21</v>
      </c>
      <c r="I43" s="132"/>
      <c r="J43" s="23"/>
      <c r="K43" s="23"/>
      <c r="L43" s="23"/>
    </row>
    <row r="44" spans="1:12" ht="19.5">
      <c r="A44" s="23"/>
      <c r="B44" s="127" t="s">
        <v>391</v>
      </c>
      <c r="C44" s="23" t="s">
        <v>408</v>
      </c>
      <c r="D44" s="23" t="s">
        <v>458</v>
      </c>
      <c r="E44" s="23"/>
      <c r="F44" s="23" t="s">
        <v>317</v>
      </c>
      <c r="G44" s="23" t="s">
        <v>350</v>
      </c>
      <c r="H44" s="23" t="s">
        <v>21</v>
      </c>
      <c r="I44" s="132"/>
      <c r="J44" s="23"/>
      <c r="K44" s="23"/>
      <c r="L44" s="23"/>
    </row>
    <row r="45" spans="1:12" ht="19.5">
      <c r="A45" s="23"/>
      <c r="B45" s="127" t="s">
        <v>391</v>
      </c>
      <c r="C45" s="23" t="s">
        <v>409</v>
      </c>
      <c r="D45" s="23" t="s">
        <v>459</v>
      </c>
      <c r="E45" s="23"/>
      <c r="F45" s="23" t="s">
        <v>319</v>
      </c>
      <c r="G45" s="23" t="s">
        <v>351</v>
      </c>
      <c r="H45" s="23" t="s">
        <v>21</v>
      </c>
      <c r="I45" s="132"/>
      <c r="J45" s="23"/>
      <c r="K45" s="23"/>
      <c r="L45" s="23"/>
    </row>
    <row r="46" spans="1:12" ht="19.5">
      <c r="A46" s="23"/>
      <c r="B46" s="127" t="s">
        <v>391</v>
      </c>
      <c r="C46" s="23" t="s">
        <v>410</v>
      </c>
      <c r="D46" s="23" t="s">
        <v>461</v>
      </c>
      <c r="E46" s="23"/>
      <c r="F46" s="23" t="s">
        <v>321</v>
      </c>
      <c r="G46" s="23" t="s">
        <v>352</v>
      </c>
      <c r="H46" s="23" t="s">
        <v>21</v>
      </c>
      <c r="I46" s="132"/>
      <c r="J46" s="23"/>
      <c r="K46" s="23"/>
      <c r="L46" s="23"/>
    </row>
    <row r="47" spans="1:12" ht="19.5">
      <c r="A47" s="23"/>
      <c r="B47" s="127" t="s">
        <v>391</v>
      </c>
      <c r="C47" s="23" t="s">
        <v>411</v>
      </c>
      <c r="D47" s="23" t="s">
        <v>460</v>
      </c>
      <c r="E47" s="23"/>
      <c r="F47" s="23" t="s">
        <v>323</v>
      </c>
      <c r="G47" s="23" t="s">
        <v>353</v>
      </c>
      <c r="H47" s="23" t="s">
        <v>200</v>
      </c>
      <c r="I47" s="132" t="s">
        <v>549</v>
      </c>
      <c r="J47" s="23"/>
      <c r="K47" s="23"/>
      <c r="L47" s="23"/>
    </row>
    <row r="48" spans="1:12" ht="19.5">
      <c r="A48" s="23"/>
      <c r="B48" s="127" t="s">
        <v>391</v>
      </c>
      <c r="C48" s="23" t="s">
        <v>412</v>
      </c>
      <c r="D48" s="23" t="s">
        <v>462</v>
      </c>
      <c r="E48" s="23"/>
      <c r="F48" s="23" t="s">
        <v>334</v>
      </c>
      <c r="G48" s="23" t="s">
        <v>359</v>
      </c>
      <c r="H48" s="23" t="s">
        <v>200</v>
      </c>
      <c r="I48" s="132" t="s">
        <v>550</v>
      </c>
      <c r="J48" s="23"/>
      <c r="K48" s="23"/>
      <c r="L48" s="23"/>
    </row>
    <row r="49" spans="1:12" ht="19.5">
      <c r="A49" s="23"/>
      <c r="B49" s="127" t="s">
        <v>391</v>
      </c>
      <c r="C49" s="23" t="s">
        <v>413</v>
      </c>
      <c r="D49" s="23" t="s">
        <v>463</v>
      </c>
      <c r="E49" s="23"/>
      <c r="F49" s="23" t="s">
        <v>326</v>
      </c>
      <c r="G49" s="23" t="s">
        <v>354</v>
      </c>
      <c r="H49" s="23" t="s">
        <v>200</v>
      </c>
      <c r="I49" s="132" t="s">
        <v>550</v>
      </c>
      <c r="J49" s="23"/>
      <c r="K49" s="23"/>
      <c r="L49" s="23"/>
    </row>
    <row r="50" spans="1:12" ht="19.5">
      <c r="A50" s="23"/>
      <c r="B50" s="127" t="s">
        <v>391</v>
      </c>
      <c r="C50" s="23" t="s">
        <v>414</v>
      </c>
      <c r="D50" s="23" t="s">
        <v>464</v>
      </c>
      <c r="E50" s="23"/>
      <c r="F50" s="23" t="s">
        <v>328</v>
      </c>
      <c r="G50" s="23" t="s">
        <v>355</v>
      </c>
      <c r="H50" s="23" t="s">
        <v>200</v>
      </c>
      <c r="I50" s="132" t="s">
        <v>550</v>
      </c>
      <c r="J50" s="23"/>
      <c r="K50" s="23"/>
      <c r="L50" s="23"/>
    </row>
    <row r="51" spans="1:12" ht="19.5">
      <c r="A51" s="23"/>
      <c r="B51" s="127" t="s">
        <v>391</v>
      </c>
      <c r="C51" s="23" t="s">
        <v>415</v>
      </c>
      <c r="D51" s="23" t="s">
        <v>465</v>
      </c>
      <c r="E51" s="23"/>
      <c r="F51" s="23" t="s">
        <v>330</v>
      </c>
      <c r="G51" s="23" t="s">
        <v>356</v>
      </c>
      <c r="H51" s="23" t="s">
        <v>21</v>
      </c>
      <c r="I51" s="132"/>
      <c r="J51" s="23"/>
      <c r="K51" s="23"/>
      <c r="L51" s="23"/>
    </row>
    <row r="52" spans="1:12" ht="19.5">
      <c r="A52" s="23"/>
      <c r="B52" s="127" t="s">
        <v>391</v>
      </c>
      <c r="C52" s="23" t="s">
        <v>416</v>
      </c>
      <c r="D52" s="23" t="s">
        <v>466</v>
      </c>
      <c r="E52" s="23"/>
      <c r="F52" s="23" t="s">
        <v>332</v>
      </c>
      <c r="G52" s="23" t="s">
        <v>357</v>
      </c>
      <c r="H52" s="23" t="s">
        <v>21</v>
      </c>
      <c r="I52" s="132"/>
      <c r="J52" s="23"/>
      <c r="K52" s="23"/>
      <c r="L52" s="23"/>
    </row>
    <row r="53" spans="1:12" ht="19.5">
      <c r="A53" s="108"/>
      <c r="B53" s="127" t="s">
        <v>479</v>
      </c>
      <c r="C53" s="23" t="s">
        <v>480</v>
      </c>
      <c r="D53" s="23" t="s">
        <v>499</v>
      </c>
      <c r="E53" s="23"/>
      <c r="F53" s="23" t="s">
        <v>511</v>
      </c>
      <c r="G53" s="23" t="s">
        <v>442</v>
      </c>
      <c r="H53" s="23" t="s">
        <v>27</v>
      </c>
      <c r="I53" s="23"/>
      <c r="J53" s="23"/>
      <c r="K53" s="23"/>
      <c r="L53" s="23"/>
    </row>
    <row r="54" spans="1:12" ht="19.5">
      <c r="A54" s="108"/>
      <c r="B54" s="127" t="s">
        <v>479</v>
      </c>
      <c r="C54" s="23" t="s">
        <v>481</v>
      </c>
      <c r="D54" s="23" t="s">
        <v>500</v>
      </c>
      <c r="E54" s="23"/>
      <c r="F54" s="23" t="s">
        <v>512</v>
      </c>
      <c r="G54" s="23" t="s">
        <v>530</v>
      </c>
      <c r="H54" s="23" t="s">
        <v>27</v>
      </c>
      <c r="I54" s="23"/>
      <c r="J54" s="23"/>
      <c r="K54" s="23"/>
      <c r="L54" s="23"/>
    </row>
    <row r="55" spans="1:12" ht="19.5">
      <c r="A55" s="108"/>
      <c r="B55" s="127" t="s">
        <v>479</v>
      </c>
      <c r="C55" s="23" t="s">
        <v>482</v>
      </c>
      <c r="D55" s="23" t="s">
        <v>501</v>
      </c>
      <c r="E55" s="23"/>
      <c r="F55" s="23" t="s">
        <v>513</v>
      </c>
      <c r="G55" s="23" t="s">
        <v>531</v>
      </c>
      <c r="H55" s="23" t="s">
        <v>27</v>
      </c>
      <c r="I55" s="23"/>
      <c r="J55" s="23"/>
      <c r="K55" s="23"/>
      <c r="L55" s="23"/>
    </row>
    <row r="56" spans="1:12" ht="19.5">
      <c r="A56" s="108"/>
      <c r="B56" s="127" t="s">
        <v>479</v>
      </c>
      <c r="C56" s="23" t="s">
        <v>483</v>
      </c>
      <c r="D56" s="23" t="s">
        <v>502</v>
      </c>
      <c r="E56" s="23"/>
      <c r="F56" s="23" t="s">
        <v>514</v>
      </c>
      <c r="G56" s="23" t="s">
        <v>532</v>
      </c>
      <c r="H56" s="23" t="s">
        <v>249</v>
      </c>
      <c r="I56" s="23" t="s">
        <v>547</v>
      </c>
      <c r="J56" s="23"/>
      <c r="K56" s="23"/>
      <c r="L56" s="23"/>
    </row>
    <row r="57" spans="1:12" ht="19.5">
      <c r="A57" s="108"/>
      <c r="B57" s="127" t="s">
        <v>479</v>
      </c>
      <c r="C57" s="23" t="s">
        <v>484</v>
      </c>
      <c r="D57" s="23" t="s">
        <v>502</v>
      </c>
      <c r="E57" s="23"/>
      <c r="F57" s="23" t="s">
        <v>515</v>
      </c>
      <c r="G57" s="23" t="s">
        <v>533</v>
      </c>
      <c r="H57" s="23" t="s">
        <v>249</v>
      </c>
      <c r="I57" s="23" t="s">
        <v>548</v>
      </c>
      <c r="J57" s="23"/>
      <c r="K57" s="23"/>
      <c r="L57" s="23"/>
    </row>
    <row r="58" spans="1:12" ht="19.5">
      <c r="A58" s="108"/>
      <c r="B58" s="127" t="s">
        <v>479</v>
      </c>
      <c r="C58" s="23" t="s">
        <v>485</v>
      </c>
      <c r="D58" s="23" t="s">
        <v>503</v>
      </c>
      <c r="E58" s="23"/>
      <c r="F58" s="23" t="s">
        <v>516</v>
      </c>
      <c r="G58" s="23" t="s">
        <v>534</v>
      </c>
      <c r="H58" s="23" t="s">
        <v>27</v>
      </c>
      <c r="I58" s="23"/>
      <c r="J58" s="23"/>
      <c r="K58" s="23"/>
      <c r="L58" s="23"/>
    </row>
    <row r="59" spans="1:12" ht="19.5">
      <c r="A59" s="108"/>
      <c r="B59" s="127" t="s">
        <v>479</v>
      </c>
      <c r="C59" s="23" t="s">
        <v>486</v>
      </c>
      <c r="D59" s="23" t="s">
        <v>458</v>
      </c>
      <c r="E59" s="23"/>
      <c r="F59" s="23" t="s">
        <v>517</v>
      </c>
      <c r="G59" s="23" t="s">
        <v>535</v>
      </c>
      <c r="H59" s="23" t="s">
        <v>27</v>
      </c>
      <c r="I59" s="23"/>
      <c r="J59" s="23"/>
      <c r="K59" s="23"/>
      <c r="L59" s="23"/>
    </row>
    <row r="60" spans="1:12" ht="19.5">
      <c r="A60" s="108"/>
      <c r="B60" s="127" t="s">
        <v>479</v>
      </c>
      <c r="C60" s="23" t="s">
        <v>487</v>
      </c>
      <c r="D60" s="23" t="s">
        <v>504</v>
      </c>
      <c r="E60" s="23"/>
      <c r="F60" s="23" t="s">
        <v>518</v>
      </c>
      <c r="G60" s="23" t="s">
        <v>536</v>
      </c>
      <c r="H60" s="23" t="s">
        <v>27</v>
      </c>
      <c r="I60" s="23"/>
      <c r="J60" s="23"/>
      <c r="K60" s="23"/>
      <c r="L60" s="23"/>
    </row>
    <row r="61" spans="1:12" ht="19.5">
      <c r="A61" s="108"/>
      <c r="B61" s="127" t="s">
        <v>479</v>
      </c>
      <c r="C61" s="23" t="s">
        <v>488</v>
      </c>
      <c r="D61" s="23" t="s">
        <v>505</v>
      </c>
      <c r="E61" s="23"/>
      <c r="F61" s="23" t="s">
        <v>519</v>
      </c>
      <c r="G61" s="23" t="s">
        <v>537</v>
      </c>
      <c r="H61" s="23" t="s">
        <v>27</v>
      </c>
      <c r="I61" s="23"/>
      <c r="J61" s="23"/>
      <c r="K61" s="23"/>
      <c r="L61" s="23"/>
    </row>
    <row r="62" spans="1:12" ht="19.5">
      <c r="A62" s="108"/>
      <c r="B62" s="127" t="s">
        <v>479</v>
      </c>
      <c r="C62" s="23" t="s">
        <v>489</v>
      </c>
      <c r="D62" s="23" t="s">
        <v>460</v>
      </c>
      <c r="E62" s="23"/>
      <c r="F62" s="23" t="s">
        <v>520</v>
      </c>
      <c r="G62" s="23" t="s">
        <v>538</v>
      </c>
      <c r="H62" s="23" t="s">
        <v>249</v>
      </c>
      <c r="I62" s="23" t="s">
        <v>549</v>
      </c>
      <c r="J62" s="23"/>
      <c r="K62" s="23"/>
      <c r="L62" s="23"/>
    </row>
    <row r="63" spans="1:12" ht="19.5">
      <c r="A63" s="108"/>
      <c r="B63" s="127" t="s">
        <v>479</v>
      </c>
      <c r="C63" s="23" t="s">
        <v>490</v>
      </c>
      <c r="D63" s="23" t="s">
        <v>462</v>
      </c>
      <c r="E63" s="23"/>
      <c r="F63" s="23" t="s">
        <v>521</v>
      </c>
      <c r="G63" s="23" t="s">
        <v>539</v>
      </c>
      <c r="H63" s="23" t="s">
        <v>249</v>
      </c>
      <c r="I63" s="23" t="s">
        <v>550</v>
      </c>
      <c r="J63" s="23"/>
      <c r="K63" s="23"/>
      <c r="L63" s="23"/>
    </row>
    <row r="64" spans="1:12" ht="19.5">
      <c r="A64" s="108"/>
      <c r="B64" s="127" t="s">
        <v>479</v>
      </c>
      <c r="C64" s="23" t="s">
        <v>491</v>
      </c>
      <c r="D64" s="23" t="s">
        <v>463</v>
      </c>
      <c r="E64" s="23"/>
      <c r="F64" s="23" t="s">
        <v>522</v>
      </c>
      <c r="G64" s="23" t="s">
        <v>540</v>
      </c>
      <c r="H64" s="23" t="s">
        <v>249</v>
      </c>
      <c r="I64" s="23" t="s">
        <v>550</v>
      </c>
      <c r="J64" s="23"/>
      <c r="K64" s="23"/>
      <c r="L64" s="23"/>
    </row>
    <row r="65" spans="1:12" ht="19.5">
      <c r="A65" s="108"/>
      <c r="B65" s="127" t="s">
        <v>479</v>
      </c>
      <c r="C65" s="23" t="s">
        <v>492</v>
      </c>
      <c r="D65" s="23" t="s">
        <v>464</v>
      </c>
      <c r="E65" s="23"/>
      <c r="F65" s="23" t="s">
        <v>523</v>
      </c>
      <c r="G65" s="23" t="s">
        <v>541</v>
      </c>
      <c r="H65" s="23" t="s">
        <v>249</v>
      </c>
      <c r="I65" s="23" t="s">
        <v>550</v>
      </c>
      <c r="J65" s="23"/>
      <c r="K65" s="23"/>
      <c r="L65" s="23"/>
    </row>
    <row r="66" spans="1:12" ht="19.5">
      <c r="A66" s="108"/>
      <c r="B66" s="127" t="s">
        <v>479</v>
      </c>
      <c r="C66" s="23" t="s">
        <v>493</v>
      </c>
      <c r="D66" s="23" t="s">
        <v>506</v>
      </c>
      <c r="E66" s="23"/>
      <c r="F66" s="23" t="s">
        <v>524</v>
      </c>
      <c r="G66" s="23" t="s">
        <v>506</v>
      </c>
      <c r="H66" s="23" t="s">
        <v>27</v>
      </c>
      <c r="I66" s="23"/>
      <c r="J66" s="23"/>
      <c r="K66" s="23"/>
      <c r="L66" s="23"/>
    </row>
    <row r="67" spans="1:12" ht="19.5">
      <c r="A67" s="108"/>
      <c r="B67" s="127" t="s">
        <v>479</v>
      </c>
      <c r="C67" s="23" t="s">
        <v>494</v>
      </c>
      <c r="D67" s="23" t="s">
        <v>507</v>
      </c>
      <c r="E67" s="23"/>
      <c r="F67" s="23" t="s">
        <v>525</v>
      </c>
      <c r="G67" s="23" t="s">
        <v>542</v>
      </c>
      <c r="H67" s="23" t="s">
        <v>27</v>
      </c>
      <c r="I67" s="23"/>
      <c r="J67" s="23"/>
      <c r="K67" s="23"/>
      <c r="L67" s="23"/>
    </row>
    <row r="68" spans="1:12" ht="19.5">
      <c r="A68" s="108"/>
      <c r="B68" s="127" t="s">
        <v>479</v>
      </c>
      <c r="C68" s="23" t="s">
        <v>495</v>
      </c>
      <c r="D68" s="23" t="s">
        <v>508</v>
      </c>
      <c r="E68" s="23"/>
      <c r="F68" s="23" t="s">
        <v>526</v>
      </c>
      <c r="G68" s="23" t="s">
        <v>543</v>
      </c>
      <c r="H68" s="23" t="s">
        <v>249</v>
      </c>
      <c r="I68" s="23" t="s">
        <v>550</v>
      </c>
      <c r="J68" s="23"/>
      <c r="K68" s="23"/>
      <c r="L68" s="23"/>
    </row>
    <row r="69" spans="1:12" ht="19.5">
      <c r="A69" s="108"/>
      <c r="B69" s="127" t="s">
        <v>479</v>
      </c>
      <c r="C69" s="23" t="s">
        <v>496</v>
      </c>
      <c r="D69" s="23" t="s">
        <v>509</v>
      </c>
      <c r="E69" s="23"/>
      <c r="F69" s="23" t="s">
        <v>527</v>
      </c>
      <c r="G69" s="23" t="s">
        <v>544</v>
      </c>
      <c r="H69" s="23" t="s">
        <v>249</v>
      </c>
      <c r="I69" s="23" t="s">
        <v>551</v>
      </c>
      <c r="J69" s="23"/>
      <c r="K69" s="23"/>
      <c r="L69" s="23"/>
    </row>
    <row r="70" spans="1:12" ht="19.5">
      <c r="A70" s="108"/>
      <c r="B70" s="127" t="s">
        <v>479</v>
      </c>
      <c r="C70" s="23" t="s">
        <v>497</v>
      </c>
      <c r="D70" s="23" t="s">
        <v>510</v>
      </c>
      <c r="E70" s="23"/>
      <c r="F70" s="23" t="s">
        <v>528</v>
      </c>
      <c r="G70" s="23" t="s">
        <v>545</v>
      </c>
      <c r="H70" s="23" t="s">
        <v>249</v>
      </c>
      <c r="I70" s="23" t="s">
        <v>551</v>
      </c>
      <c r="J70" s="23"/>
      <c r="K70" s="23"/>
      <c r="L70" s="23"/>
    </row>
    <row r="71" spans="1:12" ht="19.5">
      <c r="A71" s="108"/>
      <c r="B71" s="127" t="s">
        <v>479</v>
      </c>
      <c r="C71" s="23" t="s">
        <v>498</v>
      </c>
      <c r="D71" s="23"/>
      <c r="E71" s="23"/>
      <c r="F71" s="23" t="s">
        <v>529</v>
      </c>
      <c r="G71" s="23" t="s">
        <v>546</v>
      </c>
      <c r="H71" s="23" t="s">
        <v>27</v>
      </c>
      <c r="I71" s="23"/>
      <c r="J71" s="23"/>
      <c r="K71" s="23"/>
      <c r="L71" s="23"/>
    </row>
    <row r="72" spans="1:12" ht="19.5">
      <c r="A72" s="108"/>
      <c r="B72" s="127" t="s">
        <v>554</v>
      </c>
      <c r="C72" s="23" t="s">
        <v>555</v>
      </c>
      <c r="D72" s="23" t="s">
        <v>569</v>
      </c>
      <c r="E72" s="23"/>
      <c r="F72" s="23" t="s">
        <v>511</v>
      </c>
      <c r="G72" s="23" t="s">
        <v>442</v>
      </c>
      <c r="H72" s="23" t="s">
        <v>573</v>
      </c>
      <c r="I72" s="23"/>
      <c r="J72" s="23"/>
      <c r="K72" s="23"/>
      <c r="L72" s="23"/>
    </row>
    <row r="73" spans="1:12" ht="19.5">
      <c r="A73" s="108"/>
      <c r="B73" s="127" t="s">
        <v>554</v>
      </c>
      <c r="C73" s="23" t="s">
        <v>556</v>
      </c>
      <c r="D73" s="23" t="s">
        <v>570</v>
      </c>
      <c r="E73" s="23"/>
      <c r="F73" s="23" t="s">
        <v>571</v>
      </c>
      <c r="G73" s="23" t="s">
        <v>572</v>
      </c>
      <c r="H73" s="23" t="s">
        <v>573</v>
      </c>
      <c r="I73" s="23"/>
      <c r="J73" s="23"/>
      <c r="K73" s="23"/>
      <c r="L73" s="23"/>
    </row>
    <row r="74" spans="1:12" ht="19.5">
      <c r="A74" s="108"/>
      <c r="B74" s="127" t="s">
        <v>554</v>
      </c>
      <c r="C74" s="23" t="s">
        <v>557</v>
      </c>
      <c r="D74" s="23" t="s">
        <v>574</v>
      </c>
      <c r="E74" s="23"/>
      <c r="F74" s="23" t="s">
        <v>298</v>
      </c>
      <c r="G74" s="23" t="s">
        <v>340</v>
      </c>
      <c r="H74" s="23" t="s">
        <v>21</v>
      </c>
      <c r="I74" s="23"/>
      <c r="J74" s="23"/>
      <c r="K74" s="23"/>
      <c r="L74" s="23"/>
    </row>
    <row r="75" spans="1:12" ht="19.5">
      <c r="A75" s="108"/>
      <c r="B75" s="127" t="s">
        <v>554</v>
      </c>
      <c r="C75" s="23" t="s">
        <v>558</v>
      </c>
      <c r="D75" s="23" t="s">
        <v>575</v>
      </c>
      <c r="E75" s="23"/>
      <c r="F75" s="23" t="s">
        <v>300</v>
      </c>
      <c r="G75" s="21" t="s">
        <v>341</v>
      </c>
      <c r="H75" s="23" t="s">
        <v>200</v>
      </c>
      <c r="I75" s="134" t="s">
        <v>388</v>
      </c>
      <c r="J75" s="23"/>
      <c r="K75" s="23"/>
      <c r="L75" s="23"/>
    </row>
    <row r="76" spans="1:12" ht="19.5">
      <c r="A76" s="108"/>
      <c r="B76" s="127" t="s">
        <v>554</v>
      </c>
      <c r="C76" s="23" t="s">
        <v>559</v>
      </c>
      <c r="D76" s="23" t="s">
        <v>576</v>
      </c>
      <c r="E76" s="23"/>
      <c r="F76" s="23" t="s">
        <v>302</v>
      </c>
      <c r="G76" s="21" t="s">
        <v>342</v>
      </c>
      <c r="H76" s="23" t="s">
        <v>200</v>
      </c>
      <c r="I76" s="134" t="s">
        <v>388</v>
      </c>
      <c r="J76" s="23"/>
      <c r="K76" s="23"/>
      <c r="L76" s="23"/>
    </row>
    <row r="77" spans="1:12" ht="19.5">
      <c r="A77" s="108"/>
      <c r="B77" s="127" t="s">
        <v>554</v>
      </c>
      <c r="C77" s="23" t="s">
        <v>560</v>
      </c>
      <c r="D77" s="23" t="s">
        <v>577</v>
      </c>
      <c r="E77" s="23"/>
      <c r="F77" s="23" t="s">
        <v>578</v>
      </c>
      <c r="G77" s="23" t="s">
        <v>579</v>
      </c>
      <c r="H77" s="23" t="s">
        <v>580</v>
      </c>
      <c r="I77" s="23"/>
      <c r="J77" s="23"/>
      <c r="K77" s="23"/>
      <c r="L77" s="23"/>
    </row>
    <row r="78" spans="1:12" ht="19.5">
      <c r="A78" s="108"/>
      <c r="B78" s="127" t="s">
        <v>554</v>
      </c>
      <c r="C78" s="23" t="s">
        <v>561</v>
      </c>
      <c r="D78" s="23" t="s">
        <v>581</v>
      </c>
      <c r="E78" s="23"/>
      <c r="F78" s="23" t="s">
        <v>514</v>
      </c>
      <c r="G78" s="23" t="s">
        <v>532</v>
      </c>
      <c r="H78" s="23" t="s">
        <v>249</v>
      </c>
      <c r="I78" s="23" t="s">
        <v>547</v>
      </c>
      <c r="J78" s="23"/>
      <c r="K78" s="23"/>
      <c r="L78" s="23"/>
    </row>
    <row r="79" spans="1:12" ht="19.5">
      <c r="A79" s="108"/>
      <c r="B79" s="127" t="s">
        <v>554</v>
      </c>
      <c r="C79" s="23" t="s">
        <v>562</v>
      </c>
      <c r="D79" s="23" t="s">
        <v>582</v>
      </c>
      <c r="E79" s="23"/>
      <c r="F79" s="23" t="s">
        <v>515</v>
      </c>
      <c r="G79" s="23" t="s">
        <v>533</v>
      </c>
      <c r="H79" s="23" t="s">
        <v>249</v>
      </c>
      <c r="I79" s="23" t="s">
        <v>548</v>
      </c>
      <c r="J79" s="23"/>
      <c r="K79" s="23"/>
      <c r="L79" s="23"/>
    </row>
    <row r="80" spans="1:12" ht="19.5">
      <c r="A80" s="108"/>
      <c r="B80" s="127" t="s">
        <v>554</v>
      </c>
      <c r="C80" s="23" t="s">
        <v>563</v>
      </c>
      <c r="D80" s="23" t="s">
        <v>583</v>
      </c>
      <c r="E80" s="23"/>
      <c r="F80" s="23" t="s">
        <v>519</v>
      </c>
      <c r="G80" s="23" t="s">
        <v>537</v>
      </c>
      <c r="H80" s="23" t="s">
        <v>27</v>
      </c>
      <c r="I80" s="23"/>
      <c r="J80" s="23"/>
      <c r="K80" s="23"/>
      <c r="L80" s="23"/>
    </row>
    <row r="81" spans="1:12" ht="19.5">
      <c r="A81" s="108"/>
      <c r="B81" s="127" t="s">
        <v>554</v>
      </c>
      <c r="C81" s="23" t="s">
        <v>564</v>
      </c>
      <c r="D81" s="23" t="s">
        <v>584</v>
      </c>
      <c r="E81" s="23"/>
      <c r="F81" s="23" t="s">
        <v>521</v>
      </c>
      <c r="G81" s="23" t="s">
        <v>539</v>
      </c>
      <c r="H81" s="23" t="s">
        <v>249</v>
      </c>
      <c r="I81" s="23" t="s">
        <v>550</v>
      </c>
      <c r="J81" s="23"/>
      <c r="K81" s="23"/>
      <c r="L81" s="23"/>
    </row>
    <row r="82" spans="1:12" ht="19.5">
      <c r="A82" s="108"/>
      <c r="B82" s="127" t="s">
        <v>554</v>
      </c>
      <c r="C82" s="23" t="s">
        <v>565</v>
      </c>
      <c r="D82" s="23" t="s">
        <v>585</v>
      </c>
      <c r="E82" s="23"/>
      <c r="F82" s="23" t="s">
        <v>522</v>
      </c>
      <c r="G82" s="23" t="s">
        <v>540</v>
      </c>
      <c r="H82" s="23" t="s">
        <v>249</v>
      </c>
      <c r="I82" s="23" t="s">
        <v>550</v>
      </c>
      <c r="J82" s="23"/>
      <c r="K82" s="23"/>
      <c r="L82" s="23"/>
    </row>
    <row r="83" spans="1:12" ht="19.5">
      <c r="A83" s="108"/>
      <c r="B83" s="127" t="s">
        <v>554</v>
      </c>
      <c r="C83" s="23" t="s">
        <v>566</v>
      </c>
      <c r="D83" s="23" t="s">
        <v>586</v>
      </c>
      <c r="E83" s="23"/>
      <c r="F83" s="23" t="s">
        <v>525</v>
      </c>
      <c r="G83" s="23" t="s">
        <v>542</v>
      </c>
      <c r="H83" s="23" t="s">
        <v>27</v>
      </c>
      <c r="I83" s="23"/>
      <c r="J83" s="23"/>
      <c r="K83" s="23"/>
      <c r="L83" s="23"/>
    </row>
    <row r="84" spans="1:12" ht="19.5">
      <c r="A84" s="108"/>
      <c r="B84" s="127" t="s">
        <v>554</v>
      </c>
      <c r="C84" s="23" t="s">
        <v>567</v>
      </c>
      <c r="D84" s="23" t="s">
        <v>587</v>
      </c>
      <c r="E84" s="23"/>
      <c r="F84" s="23" t="s">
        <v>588</v>
      </c>
      <c r="G84" s="23" t="s">
        <v>589</v>
      </c>
      <c r="H84" s="23" t="s">
        <v>249</v>
      </c>
      <c r="I84" s="23" t="s">
        <v>550</v>
      </c>
      <c r="J84" s="23"/>
      <c r="K84" s="23"/>
      <c r="L84" s="23"/>
    </row>
    <row r="85" spans="1:12" ht="19.5">
      <c r="A85" s="108"/>
      <c r="B85" s="127" t="s">
        <v>554</v>
      </c>
      <c r="C85" s="23" t="s">
        <v>568</v>
      </c>
      <c r="D85" s="23"/>
      <c r="E85" s="23"/>
      <c r="F85" s="23" t="s">
        <v>529</v>
      </c>
      <c r="G85" s="23" t="s">
        <v>546</v>
      </c>
      <c r="H85" s="23" t="s">
        <v>27</v>
      </c>
      <c r="I85" s="23"/>
      <c r="J85" s="23"/>
      <c r="K85" s="23"/>
      <c r="L85" s="23"/>
    </row>
  </sheetData>
  <phoneticPr fontId="2"/>
  <conditionalFormatting sqref="K3:K12">
    <cfRule type="expression" dxfId="1" priority="1">
      <formula>#REF!=1</formula>
    </cfRule>
    <cfRule type="expression" dxfId="0" priority="2">
      <formula>#REF!=1</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B45F-5141-4774-9CD5-206CB136A49F}">
  <sheetPr>
    <tabColor rgb="FFFFC000"/>
  </sheetPr>
  <dimension ref="A1:I9"/>
  <sheetViews>
    <sheetView zoomScaleNormal="100" workbookViewId="0"/>
  </sheetViews>
  <sheetFormatPr defaultColWidth="8.875" defaultRowHeight="18.75"/>
  <cols>
    <col min="1" max="1" width="20.625" customWidth="1"/>
    <col min="2" max="2" width="5.125" customWidth="1"/>
    <col min="3" max="3" width="18.625" bestFit="1" customWidth="1"/>
    <col min="4" max="4" width="62.625" customWidth="1"/>
    <col min="5" max="5" width="15.125" customWidth="1"/>
    <col min="6" max="6" width="61" customWidth="1"/>
  </cols>
  <sheetData>
    <row r="1" spans="1:9" ht="18.75" customHeight="1">
      <c r="A1" s="112" t="s">
        <v>372</v>
      </c>
      <c r="B1" s="113" t="s">
        <v>373</v>
      </c>
      <c r="C1" s="151" t="s">
        <v>374</v>
      </c>
      <c r="D1" s="151"/>
      <c r="E1" s="152"/>
      <c r="F1" s="113" t="s">
        <v>375</v>
      </c>
    </row>
    <row r="2" spans="1:9" ht="33">
      <c r="A2" s="114" t="s">
        <v>376</v>
      </c>
      <c r="B2" s="115" t="s">
        <v>38</v>
      </c>
      <c r="C2" s="153" t="s">
        <v>645</v>
      </c>
      <c r="D2" s="154"/>
      <c r="E2" s="155"/>
      <c r="F2" s="116" t="s">
        <v>387</v>
      </c>
    </row>
    <row r="3" spans="1:9">
      <c r="A3" s="117" t="s">
        <v>377</v>
      </c>
      <c r="B3" s="118" t="s">
        <v>372</v>
      </c>
      <c r="C3" s="119" t="s">
        <v>378</v>
      </c>
      <c r="D3" s="119" t="s">
        <v>379</v>
      </c>
      <c r="E3" s="119" t="s">
        <v>380</v>
      </c>
      <c r="F3" s="120"/>
    </row>
    <row r="4" spans="1:9">
      <c r="A4" s="156" t="s">
        <v>381</v>
      </c>
      <c r="B4" s="118" t="s">
        <v>372</v>
      </c>
      <c r="C4" s="121" t="s">
        <v>643</v>
      </c>
      <c r="D4" s="122" t="s">
        <v>598</v>
      </c>
      <c r="E4" s="122" t="s">
        <v>382</v>
      </c>
      <c r="F4" s="124" t="s">
        <v>642</v>
      </c>
    </row>
    <row r="5" spans="1:9">
      <c r="A5" s="157"/>
      <c r="B5" s="118"/>
      <c r="C5" s="121" t="s">
        <v>644</v>
      </c>
      <c r="D5" s="122" t="s">
        <v>383</v>
      </c>
      <c r="E5" s="122" t="s">
        <v>382</v>
      </c>
      <c r="F5" s="123"/>
    </row>
    <row r="6" spans="1:9" ht="123.75" customHeight="1">
      <c r="A6" s="157"/>
      <c r="B6" s="118"/>
      <c r="C6" s="124" t="s">
        <v>384</v>
      </c>
      <c r="D6" s="122" t="s">
        <v>646</v>
      </c>
      <c r="E6" s="122" t="s">
        <v>382</v>
      </c>
      <c r="F6" s="124" t="s">
        <v>648</v>
      </c>
    </row>
    <row r="7" spans="1:9" ht="293.25" customHeight="1">
      <c r="A7" s="157"/>
      <c r="B7" s="118"/>
      <c r="C7" s="124" t="s">
        <v>385</v>
      </c>
      <c r="D7" s="122" t="s">
        <v>649</v>
      </c>
      <c r="E7" s="122" t="s">
        <v>382</v>
      </c>
      <c r="F7" s="124" t="s">
        <v>647</v>
      </c>
      <c r="I7" s="150"/>
    </row>
    <row r="8" spans="1:9" ht="183" customHeight="1">
      <c r="A8" s="157"/>
      <c r="B8" s="118" t="s">
        <v>372</v>
      </c>
      <c r="C8" s="124" t="s">
        <v>386</v>
      </c>
      <c r="D8" s="122" t="s">
        <v>649</v>
      </c>
      <c r="E8" s="122" t="s">
        <v>382</v>
      </c>
      <c r="F8" s="123"/>
    </row>
    <row r="9" spans="1:9" ht="183" customHeight="1">
      <c r="A9" s="157"/>
      <c r="B9" s="118" t="s">
        <v>372</v>
      </c>
      <c r="C9" s="124" t="s">
        <v>384</v>
      </c>
      <c r="D9" s="122" t="s">
        <v>650</v>
      </c>
      <c r="E9" s="122" t="s">
        <v>382</v>
      </c>
      <c r="F9" s="123"/>
    </row>
  </sheetData>
  <mergeCells count="3">
    <mergeCell ref="C1:E1"/>
    <mergeCell ref="C2:E2"/>
    <mergeCell ref="A4:A9"/>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9982-BF10-4FA0-884E-C78FBDBA6829}">
  <dimension ref="A1:H12"/>
  <sheetViews>
    <sheetView zoomScale="75" zoomScaleNormal="75" workbookViewId="0">
      <selection activeCell="A7" sqref="A7"/>
    </sheetView>
  </sheetViews>
  <sheetFormatPr defaultColWidth="9" defaultRowHeight="18.75"/>
  <cols>
    <col min="1" max="1" width="13.375" style="3" customWidth="1"/>
    <col min="2" max="3" width="33.125" style="3" customWidth="1"/>
    <col min="4" max="4" width="15.125" style="3" bestFit="1" customWidth="1"/>
    <col min="5" max="5" width="13.375" style="3" customWidth="1"/>
    <col min="6" max="6" width="5.875" style="3" bestFit="1" customWidth="1"/>
    <col min="7" max="7" width="33.125" style="3" customWidth="1"/>
    <col min="8" max="8" width="87" style="3" customWidth="1"/>
    <col min="9" max="9" width="44.375" style="3" customWidth="1"/>
    <col min="10" max="16384" width="9" style="3"/>
  </cols>
  <sheetData>
    <row r="1" spans="1:8">
      <c r="B1" s="3" t="s">
        <v>1</v>
      </c>
      <c r="C1" s="3" t="s">
        <v>2</v>
      </c>
      <c r="D1" s="6" t="s">
        <v>4</v>
      </c>
      <c r="E1" s="3" t="s">
        <v>5</v>
      </c>
      <c r="F1" s="3" t="s">
        <v>6</v>
      </c>
      <c r="G1" s="6" t="s">
        <v>7</v>
      </c>
    </row>
    <row r="2" spans="1:8" ht="93.75">
      <c r="A2" s="45" t="s">
        <v>616</v>
      </c>
      <c r="B2" s="43"/>
      <c r="C2" s="44" t="s">
        <v>11</v>
      </c>
      <c r="D2" s="43" t="s">
        <v>13</v>
      </c>
      <c r="E2" s="45" t="s">
        <v>14</v>
      </c>
      <c r="F2" s="45" t="s">
        <v>15</v>
      </c>
      <c r="G2" s="46" t="s">
        <v>16</v>
      </c>
      <c r="H2" s="47" t="s">
        <v>139</v>
      </c>
    </row>
    <row r="3" spans="1:8">
      <c r="A3" s="132" t="s">
        <v>618</v>
      </c>
      <c r="B3" s="23" t="s">
        <v>620</v>
      </c>
      <c r="C3" s="23" t="s">
        <v>625</v>
      </c>
      <c r="D3" s="23" t="s">
        <v>27</v>
      </c>
      <c r="E3" s="132"/>
      <c r="F3" s="23"/>
      <c r="G3" s="23" t="s">
        <v>631</v>
      </c>
      <c r="H3" s="23" t="s">
        <v>634</v>
      </c>
    </row>
    <row r="4" spans="1:8">
      <c r="A4" s="23" t="s">
        <v>617</v>
      </c>
      <c r="B4" s="141" t="s">
        <v>621</v>
      </c>
      <c r="C4" s="23" t="s">
        <v>626</v>
      </c>
      <c r="D4" s="23" t="s">
        <v>27</v>
      </c>
      <c r="E4" s="132"/>
      <c r="F4" s="23"/>
      <c r="G4" s="139" t="s">
        <v>632</v>
      </c>
      <c r="H4" s="23" t="s">
        <v>635</v>
      </c>
    </row>
    <row r="5" spans="1:8">
      <c r="A5" s="23" t="s">
        <v>617</v>
      </c>
      <c r="B5" s="23" t="s">
        <v>622</v>
      </c>
      <c r="C5" s="23" t="s">
        <v>627</v>
      </c>
      <c r="D5" s="23" t="s">
        <v>27</v>
      </c>
      <c r="E5" s="132"/>
      <c r="F5" s="23"/>
      <c r="G5" s="139" t="s">
        <v>632</v>
      </c>
      <c r="H5" s="23"/>
    </row>
    <row r="6" spans="1:8">
      <c r="A6" s="23" t="s">
        <v>619</v>
      </c>
      <c r="B6" s="23" t="s">
        <v>623</v>
      </c>
      <c r="C6" s="138" t="s">
        <v>628</v>
      </c>
      <c r="D6" s="23" t="s">
        <v>27</v>
      </c>
      <c r="E6" s="132"/>
      <c r="F6" s="23"/>
      <c r="G6" s="139" t="s">
        <v>632</v>
      </c>
      <c r="H6" s="23" t="s">
        <v>636</v>
      </c>
    </row>
    <row r="7" spans="1:8">
      <c r="A7" s="23" t="s">
        <v>619</v>
      </c>
      <c r="B7" s="23" t="s">
        <v>624</v>
      </c>
      <c r="C7" s="23" t="s">
        <v>629</v>
      </c>
      <c r="D7" s="23" t="s">
        <v>27</v>
      </c>
      <c r="E7" s="132"/>
      <c r="F7" s="23"/>
      <c r="G7" s="140" t="s">
        <v>633</v>
      </c>
      <c r="H7" s="23"/>
    </row>
    <row r="8" spans="1:8">
      <c r="A8" s="23" t="s">
        <v>619</v>
      </c>
      <c r="B8" s="23" t="s">
        <v>371</v>
      </c>
      <c r="C8" s="23" t="s">
        <v>630</v>
      </c>
      <c r="D8" s="23" t="s">
        <v>21</v>
      </c>
      <c r="E8" s="132"/>
      <c r="F8" s="23"/>
      <c r="G8" s="23" t="s">
        <v>631</v>
      </c>
      <c r="H8" s="23" t="s">
        <v>637</v>
      </c>
    </row>
    <row r="9" spans="1:8" ht="93.75">
      <c r="A9" s="23" t="s">
        <v>619</v>
      </c>
      <c r="B9" s="148" t="s">
        <v>471</v>
      </c>
      <c r="C9" s="149" t="s">
        <v>472</v>
      </c>
      <c r="D9" s="149" t="s">
        <v>21</v>
      </c>
      <c r="E9" s="149"/>
      <c r="F9" s="149"/>
      <c r="G9" s="149" t="s">
        <v>631</v>
      </c>
      <c r="H9" s="138" t="s">
        <v>639</v>
      </c>
    </row>
    <row r="10" spans="1:8" ht="93.75">
      <c r="A10" s="23" t="s">
        <v>619</v>
      </c>
      <c r="B10" s="148" t="s">
        <v>473</v>
      </c>
      <c r="C10" s="149" t="s">
        <v>474</v>
      </c>
      <c r="D10" s="149" t="s">
        <v>21</v>
      </c>
      <c r="E10" s="149"/>
      <c r="F10" s="149"/>
      <c r="G10" s="149" t="s">
        <v>631</v>
      </c>
      <c r="H10" s="138" t="s">
        <v>640</v>
      </c>
    </row>
    <row r="11" spans="1:8">
      <c r="A11" s="23" t="s">
        <v>619</v>
      </c>
      <c r="B11" s="141" t="s">
        <v>475</v>
      </c>
      <c r="C11" s="23" t="s">
        <v>476</v>
      </c>
      <c r="D11" s="23" t="s">
        <v>21</v>
      </c>
      <c r="E11" s="132"/>
      <c r="F11" s="23"/>
      <c r="G11" s="23" t="s">
        <v>631</v>
      </c>
      <c r="H11" s="23" t="s">
        <v>638</v>
      </c>
    </row>
    <row r="12" spans="1:8" ht="93.75">
      <c r="A12" s="23" t="s">
        <v>619</v>
      </c>
      <c r="B12" s="148" t="s">
        <v>477</v>
      </c>
      <c r="C12" s="149" t="s">
        <v>478</v>
      </c>
      <c r="D12" s="149" t="s">
        <v>21</v>
      </c>
      <c r="E12" s="149"/>
      <c r="F12" s="149"/>
      <c r="G12" s="149" t="s">
        <v>631</v>
      </c>
      <c r="H12" s="138" t="s">
        <v>641</v>
      </c>
    </row>
  </sheetData>
  <phoneticPr fontId="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9696-9033-46DD-B7F7-80254D8B476E}">
  <dimension ref="B2:G59"/>
  <sheetViews>
    <sheetView zoomScaleNormal="100" workbookViewId="0"/>
  </sheetViews>
  <sheetFormatPr defaultColWidth="9" defaultRowHeight="16.5"/>
  <cols>
    <col min="1" max="1" width="9" style="74"/>
    <col min="2" max="3" width="14" style="74" bestFit="1" customWidth="1"/>
    <col min="4" max="4" width="40.625" style="74" bestFit="1" customWidth="1"/>
    <col min="5" max="5" width="97.625" style="74" bestFit="1" customWidth="1"/>
    <col min="6" max="6" width="5.125" style="75" bestFit="1" customWidth="1"/>
    <col min="7" max="7" width="64.375" style="75" bestFit="1" customWidth="1"/>
    <col min="8" max="16384" width="9" style="74"/>
  </cols>
  <sheetData>
    <row r="2" spans="2:7" s="62" customFormat="1" ht="18.75" customHeight="1">
      <c r="B2" s="62" t="s">
        <v>264</v>
      </c>
      <c r="C2" s="62" t="s">
        <v>265</v>
      </c>
      <c r="F2" s="63"/>
      <c r="G2" s="63"/>
    </row>
    <row r="3" spans="2:7" s="64" customFormat="1" ht="18.75" customHeight="1">
      <c r="F3" s="65"/>
      <c r="G3" s="65"/>
    </row>
    <row r="4" spans="2:7" s="64" customFormat="1" ht="18.75" customHeight="1">
      <c r="B4" s="66" t="s">
        <v>266</v>
      </c>
      <c r="C4" s="66" t="s">
        <v>267</v>
      </c>
      <c r="D4" s="66" t="s">
        <v>268</v>
      </c>
      <c r="E4" s="67" t="s">
        <v>269</v>
      </c>
      <c r="F4" s="67" t="s">
        <v>270</v>
      </c>
    </row>
    <row r="5" spans="2:7" s="64" customFormat="1" ht="18.75" customHeight="1">
      <c r="B5" s="68">
        <v>45530</v>
      </c>
      <c r="C5" s="69" t="s">
        <v>470</v>
      </c>
      <c r="D5" s="69"/>
      <c r="E5" s="70" t="s">
        <v>271</v>
      </c>
      <c r="F5" s="71"/>
    </row>
    <row r="6" spans="2:7" s="64" customFormat="1" ht="18.75" customHeight="1">
      <c r="B6" s="72">
        <v>45572</v>
      </c>
      <c r="C6" s="69" t="s">
        <v>470</v>
      </c>
      <c r="D6" s="69" t="s">
        <v>552</v>
      </c>
      <c r="E6" s="70" t="s">
        <v>553</v>
      </c>
      <c r="F6" s="69"/>
    </row>
    <row r="7" spans="2:7" s="64" customFormat="1" ht="18.75" customHeight="1">
      <c r="B7" s="72">
        <v>45628</v>
      </c>
      <c r="C7" s="69" t="s">
        <v>470</v>
      </c>
      <c r="D7" s="69" t="s">
        <v>552</v>
      </c>
      <c r="E7" s="70" t="s">
        <v>590</v>
      </c>
      <c r="F7" s="71"/>
    </row>
    <row r="8" spans="2:7" s="64" customFormat="1" ht="18.75" customHeight="1">
      <c r="B8" s="72"/>
      <c r="C8" s="69"/>
      <c r="D8" s="69"/>
      <c r="E8" s="70"/>
      <c r="F8" s="71"/>
    </row>
    <row r="9" spans="2:7" s="64" customFormat="1" ht="18.75" customHeight="1">
      <c r="B9" s="72"/>
      <c r="C9" s="69"/>
      <c r="D9" s="69"/>
      <c r="E9" s="73"/>
      <c r="F9" s="71"/>
    </row>
    <row r="10" spans="2:7" s="64" customFormat="1" ht="18.75" customHeight="1">
      <c r="B10" s="68"/>
      <c r="C10" s="69"/>
      <c r="D10" s="69"/>
      <c r="E10" s="70"/>
      <c r="F10" s="73"/>
    </row>
    <row r="11" spans="2:7" s="64" customFormat="1" ht="18.75" customHeight="1">
      <c r="B11" s="68"/>
      <c r="C11" s="69"/>
      <c r="D11" s="69"/>
      <c r="E11" s="70"/>
      <c r="F11" s="71"/>
    </row>
    <row r="12" spans="2:7" s="64" customFormat="1" ht="18.75" customHeight="1">
      <c r="B12" s="68"/>
      <c r="C12" s="69"/>
      <c r="D12" s="69"/>
      <c r="E12" s="70"/>
      <c r="F12" s="73"/>
    </row>
    <row r="13" spans="2:7" s="64" customFormat="1" ht="18.75" customHeight="1">
      <c r="B13" s="68"/>
      <c r="C13" s="69"/>
      <c r="D13" s="69"/>
      <c r="E13" s="70"/>
      <c r="F13" s="73"/>
    </row>
    <row r="14" spans="2:7" s="64" customFormat="1" ht="18.75" customHeight="1">
      <c r="B14" s="68"/>
      <c r="C14" s="69"/>
      <c r="D14" s="69"/>
      <c r="E14" s="70"/>
      <c r="F14" s="73"/>
    </row>
    <row r="15" spans="2:7" s="64" customFormat="1" ht="18.75" customHeight="1">
      <c r="B15" s="68"/>
      <c r="C15" s="69"/>
      <c r="D15" s="69"/>
      <c r="E15" s="70"/>
      <c r="F15" s="70"/>
    </row>
    <row r="16" spans="2:7" s="64" customFormat="1" ht="18.75" customHeight="1">
      <c r="B16" s="68"/>
      <c r="C16" s="69"/>
      <c r="D16" s="69"/>
      <c r="E16" s="70"/>
      <c r="F16" s="70"/>
    </row>
    <row r="17" spans="2:6" s="64" customFormat="1" ht="18.75" customHeight="1">
      <c r="B17" s="68"/>
      <c r="C17" s="69"/>
      <c r="D17" s="69"/>
      <c r="E17" s="70"/>
      <c r="F17" s="70"/>
    </row>
    <row r="18" spans="2:6" s="64" customFormat="1" ht="18.75" customHeight="1">
      <c r="B18" s="68"/>
      <c r="C18" s="69"/>
      <c r="D18" s="69"/>
      <c r="E18" s="70"/>
      <c r="F18" s="70"/>
    </row>
    <row r="19" spans="2:6" s="64" customFormat="1" ht="18.75" customHeight="1">
      <c r="B19" s="68"/>
      <c r="C19" s="69"/>
      <c r="D19" s="69"/>
      <c r="E19" s="70"/>
      <c r="F19" s="70"/>
    </row>
    <row r="20" spans="2:6" s="64" customFormat="1" ht="18.75" customHeight="1">
      <c r="B20" s="68"/>
      <c r="C20" s="69"/>
      <c r="D20" s="69"/>
      <c r="E20" s="70"/>
      <c r="F20" s="70"/>
    </row>
    <row r="21" spans="2:6" s="64" customFormat="1" ht="18.75" customHeight="1">
      <c r="B21" s="68"/>
      <c r="C21" s="69"/>
      <c r="D21" s="69"/>
      <c r="E21" s="70"/>
      <c r="F21" s="70"/>
    </row>
    <row r="22" spans="2:6" s="64" customFormat="1" ht="18.75" customHeight="1">
      <c r="B22" s="71"/>
      <c r="C22" s="69"/>
      <c r="D22" s="69"/>
      <c r="E22" s="70"/>
      <c r="F22" s="70"/>
    </row>
    <row r="23" spans="2:6" s="64" customFormat="1" ht="18.75" customHeight="1">
      <c r="B23" s="71"/>
      <c r="C23" s="69"/>
      <c r="D23" s="69"/>
      <c r="E23" s="70"/>
      <c r="F23" s="70"/>
    </row>
    <row r="24" spans="2:6" s="64" customFormat="1" ht="18.75" customHeight="1">
      <c r="B24" s="71"/>
      <c r="C24" s="69"/>
      <c r="D24" s="69"/>
      <c r="E24" s="70"/>
      <c r="F24" s="70"/>
    </row>
    <row r="25" spans="2:6" s="64" customFormat="1" ht="18.75" customHeight="1">
      <c r="B25" s="71"/>
      <c r="C25" s="69"/>
      <c r="D25" s="69"/>
      <c r="E25" s="70"/>
      <c r="F25" s="70"/>
    </row>
    <row r="26" spans="2:6" s="64" customFormat="1" ht="18.75" customHeight="1">
      <c r="B26" s="71"/>
      <c r="C26" s="69"/>
      <c r="D26" s="69"/>
      <c r="E26" s="70"/>
      <c r="F26" s="70"/>
    </row>
    <row r="27" spans="2:6" s="64" customFormat="1" ht="18.75" customHeight="1">
      <c r="B27" s="71"/>
      <c r="C27" s="69"/>
      <c r="D27" s="69"/>
      <c r="E27" s="70"/>
      <c r="F27" s="70"/>
    </row>
    <row r="28" spans="2:6" s="64" customFormat="1" ht="18.75" customHeight="1">
      <c r="B28" s="71"/>
      <c r="C28" s="69"/>
      <c r="D28" s="69"/>
      <c r="E28" s="70"/>
      <c r="F28" s="70"/>
    </row>
    <row r="29" spans="2:6" s="64" customFormat="1" ht="18.75" customHeight="1">
      <c r="B29" s="71"/>
      <c r="C29" s="69"/>
      <c r="D29" s="69"/>
      <c r="E29" s="70"/>
      <c r="F29" s="70"/>
    </row>
    <row r="30" spans="2:6" s="64" customFormat="1" ht="18.75" customHeight="1">
      <c r="B30" s="71"/>
      <c r="C30" s="69"/>
      <c r="D30" s="69"/>
      <c r="E30" s="70"/>
      <c r="F30" s="70"/>
    </row>
    <row r="31" spans="2:6" s="64" customFormat="1" ht="18.75" customHeight="1">
      <c r="B31" s="71"/>
      <c r="C31" s="69"/>
      <c r="D31" s="69"/>
      <c r="E31" s="70"/>
      <c r="F31" s="70"/>
    </row>
    <row r="32" spans="2:6" s="64" customFormat="1" ht="18.75" customHeight="1">
      <c r="B32" s="71"/>
      <c r="C32" s="69"/>
      <c r="D32" s="69"/>
      <c r="E32" s="70"/>
      <c r="F32" s="70"/>
    </row>
    <row r="33" spans="2:6" s="64" customFormat="1" ht="18.75" customHeight="1">
      <c r="B33" s="71"/>
      <c r="C33" s="69"/>
      <c r="D33" s="69"/>
      <c r="E33" s="70"/>
      <c r="F33" s="70"/>
    </row>
    <row r="34" spans="2:6" s="64" customFormat="1" ht="18.75" customHeight="1">
      <c r="B34" s="71"/>
      <c r="C34" s="69"/>
      <c r="D34" s="69"/>
      <c r="E34" s="70"/>
      <c r="F34" s="70"/>
    </row>
    <row r="35" spans="2:6" s="64" customFormat="1" ht="18.75" customHeight="1">
      <c r="B35" s="71"/>
      <c r="C35" s="69"/>
      <c r="D35" s="69"/>
      <c r="E35" s="70"/>
      <c r="F35" s="70"/>
    </row>
    <row r="36" spans="2:6" s="64" customFormat="1" ht="18.75" customHeight="1">
      <c r="B36" s="71"/>
      <c r="C36" s="69"/>
      <c r="D36" s="69"/>
      <c r="E36" s="70"/>
      <c r="F36" s="70"/>
    </row>
    <row r="37" spans="2:6" s="64" customFormat="1" ht="18.75" customHeight="1">
      <c r="B37" s="71"/>
      <c r="C37" s="69"/>
      <c r="D37" s="69"/>
      <c r="E37" s="70"/>
      <c r="F37" s="70"/>
    </row>
    <row r="38" spans="2:6" s="64" customFormat="1" ht="18.75" customHeight="1">
      <c r="B38" s="71"/>
      <c r="C38" s="69"/>
      <c r="D38" s="69"/>
      <c r="E38" s="70"/>
      <c r="F38" s="70"/>
    </row>
    <row r="39" spans="2:6" s="64" customFormat="1" ht="18.75" customHeight="1">
      <c r="B39" s="71"/>
      <c r="C39" s="69"/>
      <c r="D39" s="69"/>
      <c r="E39" s="70"/>
      <c r="F39" s="70"/>
    </row>
    <row r="40" spans="2:6" s="64" customFormat="1" ht="18.75" customHeight="1">
      <c r="B40" s="71"/>
      <c r="C40" s="69"/>
      <c r="D40" s="69"/>
      <c r="E40" s="70"/>
      <c r="F40" s="70"/>
    </row>
    <row r="41" spans="2:6" s="64" customFormat="1" ht="18.75" customHeight="1">
      <c r="B41" s="71"/>
      <c r="C41" s="69"/>
      <c r="D41" s="69"/>
      <c r="E41" s="70"/>
      <c r="F41" s="70"/>
    </row>
    <row r="42" spans="2:6" s="64" customFormat="1" ht="18.75" customHeight="1">
      <c r="B42" s="71"/>
      <c r="C42" s="69"/>
      <c r="D42" s="69"/>
      <c r="E42" s="70"/>
      <c r="F42" s="70"/>
    </row>
    <row r="43" spans="2:6" s="64" customFormat="1" ht="18.75" customHeight="1">
      <c r="B43" s="71"/>
      <c r="C43" s="69"/>
      <c r="D43" s="69"/>
      <c r="E43" s="70"/>
      <c r="F43" s="70"/>
    </row>
    <row r="44" spans="2:6" s="64" customFormat="1" ht="18.75" customHeight="1">
      <c r="B44" s="71"/>
      <c r="C44" s="69"/>
      <c r="D44" s="69"/>
      <c r="E44" s="70"/>
      <c r="F44" s="70"/>
    </row>
    <row r="45" spans="2:6" s="64" customFormat="1" ht="18.75" customHeight="1">
      <c r="B45" s="71"/>
      <c r="C45" s="69"/>
      <c r="D45" s="69"/>
      <c r="E45" s="70"/>
      <c r="F45" s="70"/>
    </row>
    <row r="46" spans="2:6" s="64" customFormat="1" ht="18.75" customHeight="1">
      <c r="B46" s="71"/>
      <c r="C46" s="69"/>
      <c r="D46" s="69"/>
      <c r="E46" s="70"/>
      <c r="F46" s="70"/>
    </row>
    <row r="47" spans="2:6" s="64" customFormat="1" ht="18.75" customHeight="1">
      <c r="B47" s="71"/>
      <c r="C47" s="69"/>
      <c r="D47" s="69"/>
      <c r="E47" s="70"/>
      <c r="F47" s="70"/>
    </row>
    <row r="48" spans="2:6" s="64" customFormat="1" ht="18.75" customHeight="1">
      <c r="B48" s="71"/>
      <c r="C48" s="69"/>
      <c r="D48" s="69"/>
      <c r="E48" s="70"/>
      <c r="F48" s="70"/>
    </row>
    <row r="49" spans="2:6" s="64" customFormat="1" ht="18.75" customHeight="1">
      <c r="B49" s="71"/>
      <c r="C49" s="69"/>
      <c r="D49" s="69"/>
      <c r="E49" s="70"/>
      <c r="F49" s="70"/>
    </row>
    <row r="50" spans="2:6" s="64" customFormat="1" ht="18.75" customHeight="1">
      <c r="B50" s="71"/>
      <c r="C50" s="69"/>
      <c r="D50" s="69"/>
      <c r="E50" s="70"/>
      <c r="F50" s="70"/>
    </row>
    <row r="51" spans="2:6" s="64" customFormat="1" ht="18.75" customHeight="1">
      <c r="B51" s="71"/>
      <c r="C51" s="69"/>
      <c r="D51" s="69"/>
      <c r="E51" s="70"/>
      <c r="F51" s="70"/>
    </row>
    <row r="52" spans="2:6" s="64" customFormat="1" ht="18.75" customHeight="1">
      <c r="B52" s="71"/>
      <c r="C52" s="69"/>
      <c r="D52" s="69"/>
      <c r="E52" s="70"/>
      <c r="F52" s="70"/>
    </row>
    <row r="53" spans="2:6" s="64" customFormat="1" ht="18.75" customHeight="1">
      <c r="B53" s="71"/>
      <c r="C53" s="69"/>
      <c r="D53" s="69"/>
      <c r="E53" s="70"/>
      <c r="F53" s="70"/>
    </row>
    <row r="54" spans="2:6" s="64" customFormat="1" ht="18.75" customHeight="1">
      <c r="B54" s="71"/>
      <c r="C54" s="69"/>
      <c r="D54" s="69"/>
      <c r="E54" s="70"/>
      <c r="F54" s="70"/>
    </row>
    <row r="55" spans="2:6" s="64" customFormat="1" ht="18.75" customHeight="1">
      <c r="B55" s="71"/>
      <c r="C55" s="69"/>
      <c r="D55" s="69"/>
      <c r="E55" s="70"/>
      <c r="F55" s="70"/>
    </row>
    <row r="56" spans="2:6" s="64" customFormat="1" ht="18.75" customHeight="1">
      <c r="B56" s="71"/>
      <c r="C56" s="69"/>
      <c r="D56" s="69"/>
      <c r="E56" s="70"/>
      <c r="F56" s="70"/>
    </row>
    <row r="57" spans="2:6" s="64" customFormat="1" ht="18.75" customHeight="1">
      <c r="B57" s="69"/>
      <c r="C57" s="69"/>
      <c r="D57" s="69"/>
      <c r="E57" s="70"/>
      <c r="F57" s="70"/>
    </row>
    <row r="58" spans="2:6" s="64" customFormat="1" ht="18.75" customHeight="1">
      <c r="B58" s="69"/>
      <c r="C58" s="69"/>
      <c r="D58" s="69"/>
      <c r="E58" s="70"/>
      <c r="F58" s="70"/>
    </row>
    <row r="59" spans="2:6" s="64" customFormat="1" ht="18.75" customHeight="1">
      <c r="B59" s="69"/>
      <c r="C59" s="69"/>
      <c r="D59" s="69"/>
      <c r="E59" s="70"/>
      <c r="F59" s="70"/>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D353C60105F34DABBBF603193D9FD7" ma:contentTypeVersion="8" ma:contentTypeDescription="新しいドキュメントを作成します。" ma:contentTypeScope="" ma:versionID="ff96f1b83903b6ca69e21ae72ce65d29">
  <xsd:schema xmlns:xsd="http://www.w3.org/2001/XMLSchema" xmlns:xs="http://www.w3.org/2001/XMLSchema" xmlns:p="http://schemas.microsoft.com/office/2006/metadata/properties" xmlns:ns2="7e1b7570-88a0-44ee-ab1c-d900d3a9ef2f" xmlns:ns3="69806635-1477-418f-8922-2a2d0bbc39e0" targetNamespace="http://schemas.microsoft.com/office/2006/metadata/properties" ma:root="true" ma:fieldsID="dd34249053b4960b9f5dac26d98b1ad9" ns2:_="" ns3:_="">
    <xsd:import namespace="7e1b7570-88a0-44ee-ab1c-d900d3a9ef2f"/>
    <xsd:import namespace="69806635-1477-418f-8922-2a2d0bbc39e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b7570-88a0-44ee-ab1c-d900d3a9ef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9fc5150-9405-4c92-b675-a15574d83c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806635-1477-418f-8922-2a2d0bbc39e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e6c4ad-df8f-4506-bf29-55cef1bd293e}" ma:internalName="TaxCatchAll" ma:showField="CatchAllData" ma:web="69806635-1477-418f-8922-2a2d0bbc3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1b7570-88a0-44ee-ab1c-d900d3a9ef2f">
      <Terms xmlns="http://schemas.microsoft.com/office/infopath/2007/PartnerControls"/>
    </lcf76f155ced4ddcb4097134ff3c332f>
    <TaxCatchAll xmlns="69806635-1477-418f-8922-2a2d0bbc39e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04DD24-2E45-4DC0-B69F-E7DC5E36A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b7570-88a0-44ee-ab1c-d900d3a9ef2f"/>
    <ds:schemaRef ds:uri="69806635-1477-418f-8922-2a2d0bbc3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043C42-5D59-4A30-92A0-5EA74B604AF5}">
  <ds:schemaRefs>
    <ds:schemaRef ds:uri="http://schemas.microsoft.com/office/2006/metadata/properties"/>
    <ds:schemaRef ds:uri="http://schemas.microsoft.com/office/infopath/2007/PartnerControls"/>
    <ds:schemaRef ds:uri="7e1b7570-88a0-44ee-ab1c-d900d3a9ef2f"/>
    <ds:schemaRef ds:uri="69806635-1477-418f-8922-2a2d0bbc39e0"/>
  </ds:schemaRefs>
</ds:datastoreItem>
</file>

<file path=customXml/itemProps3.xml><?xml version="1.0" encoding="utf-8"?>
<ds:datastoreItem xmlns:ds="http://schemas.openxmlformats.org/officeDocument/2006/customXml" ds:itemID="{8F1080EF-91B6-417D-A249-69224D257C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要件定義（手入力 メタデータ項目リスト）_bak</vt:lpstr>
      <vt:lpstr>要件定義（構造化 メタデータ項目リスト）_bak</vt:lpstr>
      <vt:lpstr>ファイル命名規則</vt:lpstr>
      <vt:lpstr>要件定義（手入力 メタデータ項目リスト）</vt:lpstr>
      <vt:lpstr>要件定義（構造化 メタデータ項目リスト）</vt:lpstr>
      <vt:lpstr>要件定義（構造化詳細）</vt:lpstr>
      <vt:lpstr>要件定義（設定ファイル）</vt:lpstr>
      <vt:lpstr>改版履歴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nagao</dc:creator>
  <cp:keywords/>
  <dc:description/>
  <cp:lastModifiedBy>nims</cp:lastModifiedBy>
  <cp:revision/>
  <dcterms:created xsi:type="dcterms:W3CDTF">2015-06-05T18:19:34Z</dcterms:created>
  <dcterms:modified xsi:type="dcterms:W3CDTF">2026-08-20T06:43:51Z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0x0101000ED353C60105F34DABBBF603193D9FD7</vt:lpwstr>
  </property>
  <property fmtid="{D5CDD505-2E9C-101B-9397-08002B2CF9AE}" pid="3" name="MediaServiceImageTags">
    <vt:lpwstr/>
  </property>
</Properties>
</file>